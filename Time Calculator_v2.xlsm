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19946\Desktop\"/>
    </mc:Choice>
  </mc:AlternateContent>
  <workbookProtection workbookAlgorithmName="SHA-512" workbookHashValue="7TB0VQx/lvPee55siP63+oY/8WrSWoPkyCognHbRp1iAIBgz65PYfYqF+UeuvW0w1XySS0OuwR6yrxozyzW1fw==" workbookSaltValue="djvCL6yZiphZNAdDSHFWEw==" workbookSpinCount="100000" lockStructure="1"/>
  <bookViews>
    <workbookView xWindow="0" yWindow="0" windowWidth="19200" windowHeight="11880" tabRatio="242"/>
  </bookViews>
  <sheets>
    <sheet name="RawData" sheetId="1" r:id="rId1"/>
    <sheet name="Result" sheetId="2" state="hidden" r:id="rId2"/>
  </sheets>
  <calcPr calcId="152511"/>
</workbook>
</file>

<file path=xl/calcChain.xml><?xml version="1.0" encoding="utf-8"?>
<calcChain xmlns="http://schemas.openxmlformats.org/spreadsheetml/2006/main">
  <c r="C368" i="2" l="1"/>
  <c r="B368" i="2"/>
  <c r="A368" i="2"/>
  <c r="C366" i="2"/>
  <c r="B366" i="2"/>
  <c r="A366" i="2"/>
  <c r="C365" i="2"/>
  <c r="B365" i="2"/>
  <c r="A365" i="2"/>
  <c r="C364" i="2"/>
  <c r="B364" i="2"/>
  <c r="A364" i="2"/>
  <c r="C363" i="2"/>
  <c r="B363" i="2"/>
  <c r="A363" i="2"/>
  <c r="C362" i="2"/>
  <c r="B362" i="2"/>
  <c r="A362" i="2"/>
  <c r="C361" i="2"/>
  <c r="B361" i="2"/>
  <c r="A361" i="2"/>
  <c r="C360" i="2"/>
  <c r="B360" i="2"/>
  <c r="A360" i="2"/>
  <c r="C359" i="2"/>
  <c r="B359" i="2"/>
  <c r="A359" i="2"/>
  <c r="C358" i="2"/>
  <c r="B358" i="2"/>
  <c r="A358" i="2"/>
  <c r="C357" i="2"/>
  <c r="B357" i="2"/>
  <c r="A357" i="2"/>
  <c r="C356" i="2"/>
  <c r="B356" i="2"/>
  <c r="A356" i="2"/>
  <c r="C355" i="2"/>
  <c r="B355" i="2"/>
  <c r="A355" i="2"/>
  <c r="C354" i="2"/>
  <c r="B354" i="2"/>
  <c r="A354" i="2"/>
  <c r="C353" i="2"/>
  <c r="B353" i="2"/>
  <c r="A353" i="2"/>
  <c r="C352" i="2"/>
  <c r="B352" i="2"/>
  <c r="A352" i="2"/>
  <c r="C351" i="2"/>
  <c r="B351" i="2"/>
  <c r="A351" i="2"/>
  <c r="C350" i="2"/>
  <c r="B350" i="2"/>
  <c r="A350" i="2"/>
  <c r="C349" i="2"/>
  <c r="B349" i="2"/>
  <c r="A349" i="2"/>
  <c r="C348" i="2"/>
  <c r="B348" i="2"/>
  <c r="A348" i="2"/>
  <c r="C347" i="2"/>
  <c r="B347" i="2"/>
  <c r="A347" i="2"/>
  <c r="C346" i="2"/>
  <c r="B346" i="2"/>
  <c r="A346" i="2"/>
  <c r="C345" i="2"/>
  <c r="B345" i="2"/>
  <c r="A345" i="2"/>
  <c r="C344" i="2"/>
  <c r="B344" i="2"/>
  <c r="A344" i="2"/>
  <c r="C343" i="2"/>
  <c r="B343" i="2"/>
  <c r="A343" i="2"/>
  <c r="C342" i="2"/>
  <c r="B342" i="2"/>
  <c r="A342" i="2"/>
  <c r="C341" i="2"/>
  <c r="B341" i="2"/>
  <c r="A341" i="2"/>
  <c r="C340" i="2"/>
  <c r="B340" i="2"/>
  <c r="A340" i="2"/>
  <c r="C339" i="2"/>
  <c r="B339" i="2"/>
  <c r="A339" i="2"/>
  <c r="C338" i="2"/>
  <c r="B338" i="2"/>
  <c r="A338" i="2"/>
  <c r="C337" i="2"/>
  <c r="B337" i="2"/>
  <c r="A337" i="2"/>
  <c r="C336" i="2"/>
  <c r="B336" i="2"/>
  <c r="A336" i="2"/>
  <c r="C335" i="2"/>
  <c r="B335" i="2"/>
  <c r="A335" i="2"/>
  <c r="C334" i="2"/>
  <c r="B334" i="2"/>
  <c r="A334" i="2"/>
  <c r="C333" i="2"/>
  <c r="B333" i="2"/>
  <c r="A333" i="2"/>
  <c r="C332" i="2"/>
  <c r="B332" i="2"/>
  <c r="A332" i="2"/>
  <c r="C331" i="2"/>
  <c r="B331" i="2"/>
  <c r="A331" i="2"/>
  <c r="C330" i="2"/>
  <c r="B330" i="2"/>
  <c r="A330" i="2"/>
  <c r="C329" i="2"/>
  <c r="B329" i="2"/>
  <c r="A329" i="2"/>
  <c r="C328" i="2"/>
  <c r="B328" i="2"/>
  <c r="A328" i="2"/>
  <c r="C327" i="2"/>
  <c r="B327" i="2"/>
  <c r="A327" i="2"/>
  <c r="C326" i="2"/>
  <c r="B326" i="2"/>
  <c r="A326" i="2"/>
  <c r="C325" i="2"/>
  <c r="B325" i="2"/>
  <c r="A325" i="2"/>
  <c r="C324" i="2"/>
  <c r="B324" i="2"/>
  <c r="A324" i="2"/>
  <c r="C323" i="2"/>
  <c r="B323" i="2"/>
  <c r="A323" i="2"/>
  <c r="C322" i="2"/>
  <c r="B322" i="2"/>
  <c r="A322" i="2"/>
  <c r="C321" i="2"/>
  <c r="B321" i="2"/>
  <c r="A321" i="2"/>
  <c r="C320" i="2"/>
  <c r="B320" i="2"/>
  <c r="A320" i="2"/>
  <c r="C319" i="2"/>
  <c r="B319" i="2"/>
  <c r="A319" i="2"/>
  <c r="C318" i="2"/>
  <c r="B318" i="2"/>
  <c r="A318" i="2"/>
  <c r="C317" i="2"/>
  <c r="B317" i="2"/>
  <c r="A317" i="2"/>
  <c r="C316" i="2"/>
  <c r="B316" i="2"/>
  <c r="A316" i="2"/>
  <c r="C315" i="2"/>
  <c r="B315" i="2"/>
  <c r="A315" i="2"/>
  <c r="C314" i="2"/>
  <c r="B314" i="2"/>
  <c r="A314" i="2"/>
  <c r="C313" i="2"/>
  <c r="B313" i="2"/>
  <c r="A313" i="2"/>
  <c r="C312" i="2"/>
  <c r="B312" i="2"/>
  <c r="A312" i="2"/>
  <c r="C311" i="2"/>
  <c r="B311" i="2"/>
  <c r="A311" i="2"/>
  <c r="C310" i="2"/>
  <c r="B310" i="2"/>
  <c r="A310" i="2"/>
  <c r="C309" i="2"/>
  <c r="B309" i="2"/>
  <c r="A309" i="2"/>
  <c r="C308" i="2"/>
  <c r="B308" i="2"/>
  <c r="A308" i="2"/>
  <c r="C307" i="2"/>
  <c r="B307" i="2"/>
  <c r="A307" i="2"/>
  <c r="C306" i="2"/>
  <c r="B306" i="2"/>
  <c r="A306" i="2"/>
  <c r="C305" i="2"/>
  <c r="B305" i="2"/>
  <c r="A305" i="2"/>
  <c r="C304" i="2"/>
  <c r="B304" i="2"/>
  <c r="A304" i="2"/>
  <c r="C303" i="2"/>
  <c r="B303" i="2"/>
  <c r="A303" i="2"/>
  <c r="C302" i="2"/>
  <c r="B302" i="2"/>
  <c r="A302" i="2"/>
  <c r="C301" i="2"/>
  <c r="B301" i="2"/>
  <c r="A301" i="2"/>
  <c r="C300" i="2"/>
  <c r="B300" i="2"/>
  <c r="A300" i="2"/>
  <c r="C299" i="2"/>
  <c r="B299" i="2"/>
  <c r="A299" i="2"/>
  <c r="C298" i="2"/>
  <c r="B298" i="2"/>
  <c r="A298" i="2"/>
  <c r="C297" i="2"/>
  <c r="B297" i="2"/>
  <c r="A297" i="2"/>
  <c r="C296" i="2"/>
  <c r="B296" i="2"/>
  <c r="A296" i="2"/>
  <c r="C295" i="2"/>
  <c r="B295" i="2"/>
  <c r="A295" i="2"/>
  <c r="C294" i="2"/>
  <c r="B294" i="2"/>
  <c r="A294" i="2"/>
  <c r="C293" i="2"/>
  <c r="B293" i="2"/>
  <c r="A293" i="2"/>
  <c r="C292" i="2"/>
  <c r="B292" i="2"/>
  <c r="A292" i="2"/>
  <c r="C291" i="2"/>
  <c r="B291" i="2"/>
  <c r="A291" i="2"/>
  <c r="C290" i="2"/>
  <c r="B290" i="2"/>
  <c r="A290" i="2"/>
  <c r="C289" i="2"/>
  <c r="B289" i="2"/>
  <c r="A289" i="2"/>
  <c r="C288" i="2"/>
  <c r="B288" i="2"/>
  <c r="A288" i="2"/>
  <c r="C287" i="2"/>
  <c r="B287" i="2"/>
  <c r="A287" i="2"/>
  <c r="C286" i="2"/>
  <c r="B286" i="2"/>
  <c r="A286" i="2"/>
  <c r="C285" i="2"/>
  <c r="B285" i="2"/>
  <c r="A285" i="2"/>
  <c r="C284" i="2"/>
  <c r="B284" i="2"/>
  <c r="A284" i="2"/>
  <c r="C283" i="2"/>
  <c r="B283" i="2"/>
  <c r="A283" i="2"/>
  <c r="C282" i="2"/>
  <c r="B282" i="2"/>
  <c r="A282" i="2"/>
  <c r="C281" i="2"/>
  <c r="B281" i="2"/>
  <c r="A281" i="2"/>
  <c r="C280" i="2"/>
  <c r="B280" i="2"/>
  <c r="A280" i="2"/>
  <c r="C279" i="2"/>
  <c r="B279" i="2"/>
  <c r="A279" i="2"/>
  <c r="C278" i="2"/>
  <c r="B278" i="2"/>
  <c r="A278" i="2"/>
  <c r="C277" i="2"/>
  <c r="B277" i="2"/>
  <c r="A277" i="2"/>
  <c r="C276" i="2"/>
  <c r="B276" i="2"/>
  <c r="A276" i="2"/>
  <c r="C275" i="2"/>
  <c r="B275" i="2"/>
  <c r="A275" i="2"/>
  <c r="C274" i="2"/>
  <c r="B274" i="2"/>
  <c r="A274" i="2"/>
  <c r="C273" i="2"/>
  <c r="B273" i="2"/>
  <c r="A273" i="2"/>
  <c r="C272" i="2"/>
  <c r="B272" i="2"/>
  <c r="A272" i="2"/>
  <c r="C271" i="2"/>
  <c r="B271" i="2"/>
  <c r="A271" i="2"/>
  <c r="C270" i="2"/>
  <c r="B270" i="2"/>
  <c r="A270" i="2"/>
  <c r="C269" i="2"/>
  <c r="B269" i="2"/>
  <c r="A269" i="2"/>
  <c r="C268" i="2"/>
  <c r="B268" i="2"/>
  <c r="A268" i="2"/>
  <c r="C267" i="2"/>
  <c r="B267" i="2"/>
  <c r="A267" i="2"/>
  <c r="C266" i="2"/>
  <c r="B266" i="2"/>
  <c r="A266" i="2"/>
  <c r="C265" i="2"/>
  <c r="B265" i="2"/>
  <c r="A265" i="2"/>
  <c r="C264" i="2"/>
  <c r="B264" i="2"/>
  <c r="A264" i="2"/>
  <c r="C263" i="2"/>
  <c r="B263" i="2"/>
  <c r="A263" i="2"/>
  <c r="C262" i="2"/>
  <c r="B262" i="2"/>
  <c r="A262" i="2"/>
  <c r="C261" i="2"/>
  <c r="B261" i="2"/>
  <c r="A261" i="2"/>
  <c r="C260" i="2"/>
  <c r="B260" i="2"/>
  <c r="A260" i="2"/>
  <c r="C259" i="2"/>
  <c r="B259" i="2"/>
  <c r="A259" i="2"/>
  <c r="C258" i="2"/>
  <c r="B258" i="2"/>
  <c r="A258" i="2"/>
  <c r="C257" i="2"/>
  <c r="B257" i="2"/>
  <c r="A257" i="2"/>
  <c r="C256" i="2"/>
  <c r="B256" i="2"/>
  <c r="A256" i="2"/>
  <c r="C255" i="2"/>
  <c r="B255" i="2"/>
  <c r="A255" i="2"/>
  <c r="C254" i="2"/>
  <c r="B254" i="2"/>
  <c r="A254" i="2"/>
  <c r="C253" i="2"/>
  <c r="B253" i="2"/>
  <c r="A253" i="2"/>
  <c r="C252" i="2"/>
  <c r="B252" i="2"/>
  <c r="A252" i="2"/>
  <c r="C251" i="2"/>
  <c r="B251" i="2"/>
  <c r="A251" i="2"/>
  <c r="C250" i="2"/>
  <c r="B250" i="2"/>
  <c r="A250" i="2"/>
  <c r="C249" i="2"/>
  <c r="B249" i="2"/>
  <c r="A249" i="2"/>
  <c r="C248" i="2"/>
  <c r="B248" i="2"/>
  <c r="A248" i="2"/>
  <c r="C247" i="2"/>
  <c r="B247" i="2"/>
  <c r="A247" i="2"/>
  <c r="C246" i="2"/>
  <c r="B246" i="2"/>
  <c r="A246" i="2"/>
  <c r="C245" i="2"/>
  <c r="B245" i="2"/>
  <c r="A245" i="2"/>
  <c r="C244" i="2"/>
  <c r="B244" i="2"/>
  <c r="A244" i="2"/>
  <c r="C243" i="2"/>
  <c r="B243" i="2"/>
  <c r="A243" i="2"/>
  <c r="C242" i="2"/>
  <c r="B242" i="2"/>
  <c r="A242" i="2"/>
  <c r="C241" i="2"/>
  <c r="B241" i="2"/>
  <c r="A241" i="2"/>
  <c r="C240" i="2"/>
  <c r="B240" i="2"/>
  <c r="A240" i="2"/>
  <c r="C239" i="2"/>
  <c r="B239" i="2"/>
  <c r="A239" i="2"/>
  <c r="C238" i="2"/>
  <c r="B238" i="2"/>
  <c r="A238" i="2"/>
  <c r="C237" i="2"/>
  <c r="B237" i="2"/>
  <c r="A237" i="2"/>
  <c r="C236" i="2"/>
  <c r="B236" i="2"/>
  <c r="A236" i="2"/>
  <c r="C235" i="2"/>
  <c r="B235" i="2"/>
  <c r="A235" i="2"/>
  <c r="C234" i="2"/>
  <c r="B234" i="2"/>
  <c r="A234" i="2"/>
  <c r="C233" i="2"/>
  <c r="B233" i="2"/>
  <c r="A233" i="2"/>
  <c r="C232" i="2"/>
  <c r="B232" i="2"/>
  <c r="A232" i="2"/>
  <c r="C231" i="2"/>
  <c r="B231" i="2"/>
  <c r="A231" i="2"/>
  <c r="C230" i="2"/>
  <c r="B230" i="2"/>
  <c r="A230" i="2"/>
  <c r="C229" i="2"/>
  <c r="B229" i="2"/>
  <c r="A229" i="2"/>
  <c r="C228" i="2"/>
  <c r="B228" i="2"/>
  <c r="A228" i="2"/>
  <c r="C227" i="2"/>
  <c r="B227" i="2"/>
  <c r="A227" i="2"/>
  <c r="C226" i="2"/>
  <c r="B226" i="2"/>
  <c r="A226" i="2"/>
  <c r="C225" i="2"/>
  <c r="B225" i="2"/>
  <c r="A225" i="2"/>
  <c r="C224" i="2"/>
  <c r="B224" i="2"/>
  <c r="A224" i="2"/>
  <c r="C223" i="2"/>
  <c r="B223" i="2"/>
  <c r="A223" i="2"/>
  <c r="C222" i="2"/>
  <c r="B222" i="2"/>
  <c r="A222" i="2"/>
  <c r="C221" i="2"/>
  <c r="B221" i="2"/>
  <c r="A221" i="2"/>
  <c r="C220" i="2"/>
  <c r="B220" i="2"/>
  <c r="A220" i="2"/>
  <c r="C219" i="2"/>
  <c r="B219" i="2"/>
  <c r="A219" i="2"/>
  <c r="C218" i="2"/>
  <c r="B218" i="2"/>
  <c r="A218" i="2"/>
  <c r="C217" i="2"/>
  <c r="B217" i="2"/>
  <c r="A217" i="2"/>
  <c r="C216" i="2"/>
  <c r="B216" i="2"/>
  <c r="A216" i="2"/>
  <c r="C215" i="2"/>
  <c r="B215" i="2"/>
  <c r="A215" i="2"/>
  <c r="C214" i="2"/>
  <c r="B214" i="2"/>
  <c r="A214" i="2"/>
  <c r="C213" i="2"/>
  <c r="B213" i="2"/>
  <c r="A213" i="2"/>
  <c r="C212" i="2"/>
  <c r="B212" i="2"/>
  <c r="A212" i="2"/>
  <c r="C211" i="2"/>
  <c r="B211" i="2"/>
  <c r="A211" i="2"/>
  <c r="C210" i="2"/>
  <c r="B210" i="2"/>
  <c r="A210" i="2"/>
  <c r="C209" i="2"/>
  <c r="B209" i="2"/>
  <c r="A209" i="2"/>
  <c r="C208" i="2"/>
  <c r="B208" i="2"/>
  <c r="A208" i="2"/>
  <c r="C207" i="2"/>
  <c r="B207" i="2"/>
  <c r="A207" i="2"/>
  <c r="C206" i="2"/>
  <c r="B206" i="2"/>
  <c r="A206" i="2"/>
  <c r="C205" i="2"/>
  <c r="B205" i="2"/>
  <c r="A205" i="2"/>
  <c r="C204" i="2"/>
  <c r="B204" i="2"/>
  <c r="A204" i="2"/>
  <c r="C203" i="2"/>
  <c r="B203" i="2"/>
  <c r="A203" i="2"/>
  <c r="C202" i="2"/>
  <c r="B202" i="2"/>
  <c r="A202" i="2"/>
  <c r="C201" i="2"/>
  <c r="B201" i="2"/>
  <c r="A201" i="2"/>
  <c r="C200" i="2"/>
  <c r="B200" i="2"/>
  <c r="A200" i="2"/>
  <c r="C199" i="2"/>
  <c r="B199" i="2"/>
  <c r="A199" i="2"/>
  <c r="C198" i="2"/>
  <c r="B198" i="2"/>
  <c r="A198" i="2"/>
  <c r="C197" i="2"/>
  <c r="B197" i="2"/>
  <c r="A197" i="2"/>
  <c r="C196" i="2"/>
  <c r="B196" i="2"/>
  <c r="A196" i="2"/>
  <c r="C195" i="2"/>
  <c r="B195" i="2"/>
  <c r="A195" i="2"/>
  <c r="C194" i="2"/>
  <c r="B194" i="2"/>
  <c r="A194" i="2"/>
  <c r="C193" i="2"/>
  <c r="B193" i="2"/>
  <c r="A193" i="2"/>
  <c r="C192" i="2"/>
  <c r="B192" i="2"/>
  <c r="A192" i="2"/>
  <c r="C191" i="2"/>
  <c r="B191" i="2"/>
  <c r="A191" i="2"/>
  <c r="C190" i="2"/>
  <c r="B190" i="2"/>
  <c r="A190" i="2"/>
  <c r="C189" i="2"/>
  <c r="B189" i="2"/>
  <c r="A189" i="2"/>
  <c r="C188" i="2"/>
  <c r="B188" i="2"/>
  <c r="A188" i="2"/>
  <c r="C187" i="2"/>
  <c r="B187" i="2"/>
  <c r="A187" i="2"/>
  <c r="C186" i="2"/>
  <c r="B186" i="2"/>
  <c r="A186" i="2"/>
  <c r="C185" i="2"/>
  <c r="B185" i="2"/>
  <c r="A185" i="2"/>
  <c r="C184" i="2"/>
  <c r="B184" i="2"/>
  <c r="A184" i="2"/>
  <c r="C183" i="2"/>
  <c r="B183" i="2"/>
  <c r="A183" i="2"/>
  <c r="C182" i="2"/>
  <c r="B182" i="2"/>
  <c r="A182" i="2"/>
  <c r="C181" i="2"/>
  <c r="B181" i="2"/>
  <c r="A181" i="2"/>
  <c r="C180" i="2"/>
  <c r="B180" i="2"/>
  <c r="A180" i="2"/>
  <c r="C179" i="2"/>
  <c r="B179" i="2"/>
  <c r="A179" i="2"/>
  <c r="C178" i="2"/>
  <c r="B178" i="2"/>
  <c r="A178" i="2"/>
  <c r="C177" i="2"/>
  <c r="B177" i="2"/>
  <c r="A177" i="2"/>
  <c r="C176" i="2"/>
  <c r="B176" i="2"/>
  <c r="A176" i="2"/>
  <c r="C175" i="2"/>
  <c r="B175" i="2"/>
  <c r="A175" i="2"/>
  <c r="C174" i="2"/>
  <c r="B174" i="2"/>
  <c r="A174" i="2"/>
  <c r="C173" i="2"/>
  <c r="B173" i="2"/>
  <c r="A173" i="2"/>
  <c r="C172" i="2"/>
  <c r="B172" i="2"/>
  <c r="A172" i="2"/>
  <c r="C171" i="2"/>
  <c r="B171" i="2"/>
  <c r="A171" i="2"/>
  <c r="C170" i="2"/>
  <c r="B170" i="2"/>
  <c r="A170" i="2"/>
  <c r="C169" i="2"/>
  <c r="B169" i="2"/>
  <c r="A169" i="2"/>
  <c r="C168" i="2"/>
  <c r="B168" i="2"/>
  <c r="A168" i="2"/>
  <c r="C167" i="2"/>
  <c r="B167" i="2"/>
  <c r="A167" i="2"/>
  <c r="C166" i="2"/>
  <c r="B166" i="2"/>
  <c r="A166" i="2"/>
  <c r="C165" i="2"/>
  <c r="B165" i="2"/>
  <c r="A165" i="2"/>
  <c r="C164" i="2"/>
  <c r="B164" i="2"/>
  <c r="A164" i="2"/>
  <c r="C163" i="2"/>
  <c r="B163" i="2"/>
  <c r="A163" i="2"/>
  <c r="C162" i="2"/>
  <c r="B162" i="2"/>
  <c r="A162" i="2"/>
  <c r="C161" i="2"/>
  <c r="B161" i="2"/>
  <c r="A161" i="2"/>
  <c r="C160" i="2"/>
  <c r="B160" i="2"/>
  <c r="A160" i="2"/>
  <c r="C159" i="2"/>
  <c r="B159" i="2"/>
  <c r="A159" i="2"/>
  <c r="C158" i="2"/>
  <c r="B158" i="2"/>
  <c r="A158" i="2"/>
  <c r="C157" i="2"/>
  <c r="B157" i="2"/>
  <c r="A157" i="2"/>
  <c r="C156" i="2"/>
  <c r="B156" i="2"/>
  <c r="A156" i="2"/>
  <c r="C155" i="2"/>
  <c r="B155" i="2"/>
  <c r="A155" i="2"/>
  <c r="C154" i="2"/>
  <c r="B154" i="2"/>
  <c r="A154" i="2"/>
  <c r="C153" i="2"/>
  <c r="B153" i="2"/>
  <c r="A153" i="2"/>
  <c r="C152" i="2"/>
  <c r="B152" i="2"/>
  <c r="A152" i="2"/>
  <c r="C151" i="2"/>
  <c r="B151" i="2"/>
  <c r="A151" i="2"/>
  <c r="C150" i="2"/>
  <c r="B150" i="2"/>
  <c r="A150" i="2"/>
  <c r="C149" i="2"/>
  <c r="B149" i="2"/>
  <c r="A149" i="2"/>
  <c r="C148" i="2"/>
  <c r="B148" i="2"/>
  <c r="A148" i="2"/>
  <c r="C147" i="2"/>
  <c r="B147" i="2"/>
  <c r="A147" i="2"/>
  <c r="C146" i="2"/>
  <c r="B146" i="2"/>
  <c r="A146" i="2"/>
  <c r="C145" i="2"/>
  <c r="B145" i="2"/>
  <c r="A145" i="2"/>
  <c r="C144" i="2"/>
  <c r="B144" i="2"/>
  <c r="A144" i="2"/>
  <c r="C143" i="2"/>
  <c r="B143" i="2"/>
  <c r="A143" i="2"/>
  <c r="C142" i="2"/>
  <c r="B142" i="2"/>
  <c r="A142" i="2"/>
  <c r="C141" i="2"/>
  <c r="B141" i="2"/>
  <c r="A141" i="2"/>
  <c r="C140" i="2"/>
  <c r="B140" i="2"/>
  <c r="A140" i="2"/>
  <c r="C139" i="2"/>
  <c r="B139" i="2"/>
  <c r="A139" i="2"/>
  <c r="C138" i="2"/>
  <c r="B138" i="2"/>
  <c r="A138" i="2"/>
  <c r="C137" i="2"/>
  <c r="B137" i="2"/>
  <c r="A137" i="2"/>
  <c r="C136" i="2"/>
  <c r="B136" i="2"/>
  <c r="A136" i="2"/>
  <c r="C135" i="2"/>
  <c r="B135" i="2"/>
  <c r="A135" i="2"/>
  <c r="C134" i="2"/>
  <c r="B134" i="2"/>
  <c r="A134" i="2"/>
  <c r="C133" i="2"/>
  <c r="B133" i="2"/>
  <c r="A133" i="2"/>
  <c r="C132" i="2"/>
  <c r="B132" i="2"/>
  <c r="A132" i="2"/>
  <c r="C131" i="2"/>
  <c r="B131" i="2"/>
  <c r="A131" i="2"/>
  <c r="C130" i="2"/>
  <c r="B130" i="2"/>
  <c r="A130" i="2"/>
  <c r="C129" i="2"/>
  <c r="B129" i="2"/>
  <c r="A129" i="2"/>
  <c r="C128" i="2"/>
  <c r="B128" i="2"/>
  <c r="A128" i="2"/>
  <c r="C127" i="2"/>
  <c r="B127" i="2"/>
  <c r="A127" i="2"/>
  <c r="C126" i="2"/>
  <c r="B126" i="2"/>
  <c r="A126" i="2"/>
  <c r="C125" i="2"/>
  <c r="B125" i="2"/>
  <c r="A125" i="2"/>
  <c r="C124" i="2"/>
  <c r="B124" i="2"/>
  <c r="A124" i="2"/>
  <c r="C123" i="2"/>
  <c r="B123" i="2"/>
  <c r="A123" i="2"/>
  <c r="C122" i="2"/>
  <c r="B122" i="2"/>
  <c r="A122" i="2"/>
  <c r="C121" i="2"/>
  <c r="B121" i="2"/>
  <c r="A121" i="2"/>
  <c r="C120" i="2"/>
  <c r="B120" i="2"/>
  <c r="A120" i="2"/>
  <c r="C119" i="2"/>
  <c r="B119" i="2"/>
  <c r="A119" i="2"/>
  <c r="C118" i="2"/>
  <c r="B118" i="2"/>
  <c r="A118" i="2"/>
  <c r="C117" i="2"/>
  <c r="B117" i="2"/>
  <c r="A117" i="2"/>
  <c r="C116" i="2"/>
  <c r="B116" i="2"/>
  <c r="A116" i="2"/>
  <c r="C115" i="2"/>
  <c r="B115" i="2"/>
  <c r="A115" i="2"/>
  <c r="C114" i="2"/>
  <c r="B114" i="2"/>
  <c r="A114" i="2"/>
  <c r="C113" i="2"/>
  <c r="B113" i="2"/>
  <c r="A113" i="2"/>
  <c r="C112" i="2"/>
  <c r="B112" i="2"/>
  <c r="A112" i="2"/>
  <c r="C111" i="2"/>
  <c r="B111" i="2"/>
  <c r="A111" i="2"/>
  <c r="C110" i="2"/>
  <c r="B110" i="2"/>
  <c r="A110" i="2"/>
  <c r="C109" i="2"/>
  <c r="B109" i="2"/>
  <c r="A109" i="2"/>
  <c r="C108" i="2"/>
  <c r="B108" i="2"/>
  <c r="A108" i="2"/>
  <c r="C107" i="2"/>
  <c r="B107" i="2"/>
  <c r="A107" i="2"/>
  <c r="C106" i="2"/>
  <c r="B106" i="2"/>
  <c r="A106" i="2"/>
  <c r="C105" i="2"/>
  <c r="B105" i="2"/>
  <c r="A105" i="2"/>
  <c r="C104" i="2"/>
  <c r="B104" i="2"/>
  <c r="A104" i="2"/>
  <c r="C103" i="2"/>
  <c r="B103" i="2"/>
  <c r="A103" i="2"/>
  <c r="C102" i="2"/>
  <c r="B102" i="2"/>
  <c r="A102" i="2"/>
  <c r="C101" i="2"/>
  <c r="B101" i="2"/>
  <c r="A101" i="2"/>
  <c r="C100" i="2"/>
  <c r="B100" i="2"/>
  <c r="A100" i="2"/>
  <c r="C99" i="2"/>
  <c r="B99" i="2"/>
  <c r="A99" i="2"/>
  <c r="C98" i="2"/>
  <c r="B98" i="2"/>
  <c r="A98" i="2"/>
  <c r="C97" i="2"/>
  <c r="B97" i="2"/>
  <c r="A97" i="2"/>
  <c r="C96" i="2"/>
  <c r="B96" i="2"/>
  <c r="A96" i="2"/>
  <c r="C95" i="2"/>
  <c r="B95" i="2"/>
  <c r="A95" i="2"/>
  <c r="C94" i="2"/>
  <c r="B94" i="2"/>
  <c r="A94" i="2"/>
  <c r="C93" i="2"/>
  <c r="B93" i="2"/>
  <c r="A93" i="2"/>
  <c r="C92" i="2"/>
  <c r="B92" i="2"/>
  <c r="A92" i="2"/>
  <c r="C91" i="2"/>
  <c r="B91" i="2"/>
  <c r="A91" i="2"/>
  <c r="C90" i="2"/>
  <c r="B90" i="2"/>
  <c r="A90" i="2"/>
  <c r="C89" i="2"/>
  <c r="B89" i="2"/>
  <c r="A89" i="2"/>
  <c r="C88" i="2"/>
  <c r="B88" i="2"/>
  <c r="A88" i="2"/>
  <c r="C87" i="2"/>
  <c r="B87" i="2"/>
  <c r="A87" i="2"/>
  <c r="C86" i="2"/>
  <c r="B86" i="2"/>
  <c r="A86" i="2"/>
  <c r="C85" i="2"/>
  <c r="B85" i="2"/>
  <c r="A85" i="2"/>
  <c r="C84" i="2"/>
  <c r="B84" i="2"/>
  <c r="A84" i="2"/>
  <c r="C83" i="2"/>
  <c r="B83" i="2"/>
  <c r="A83" i="2"/>
  <c r="C82" i="2"/>
  <c r="B82" i="2"/>
  <c r="A82" i="2"/>
  <c r="C81" i="2"/>
  <c r="B81" i="2"/>
  <c r="A81" i="2"/>
  <c r="C80" i="2"/>
  <c r="B80" i="2"/>
  <c r="A80" i="2"/>
  <c r="C79" i="2"/>
  <c r="B79" i="2"/>
  <c r="A79" i="2"/>
  <c r="C78" i="2"/>
  <c r="B78" i="2"/>
  <c r="A78" i="2"/>
  <c r="C77" i="2"/>
  <c r="B77" i="2"/>
  <c r="A77" i="2"/>
  <c r="C76" i="2"/>
  <c r="B76" i="2"/>
  <c r="A76" i="2"/>
  <c r="C75" i="2"/>
  <c r="B75" i="2"/>
  <c r="A75" i="2"/>
  <c r="C74" i="2"/>
  <c r="B74" i="2"/>
  <c r="A74" i="2"/>
  <c r="C73" i="2"/>
  <c r="B73" i="2"/>
  <c r="A73" i="2"/>
  <c r="C72" i="2"/>
  <c r="B72" i="2"/>
  <c r="A72" i="2"/>
  <c r="C71" i="2"/>
  <c r="B71" i="2"/>
  <c r="A71" i="2"/>
  <c r="C70" i="2"/>
  <c r="B70" i="2"/>
  <c r="A70" i="2"/>
  <c r="C69" i="2"/>
  <c r="B69" i="2"/>
  <c r="A69" i="2"/>
  <c r="C68" i="2"/>
  <c r="B68" i="2"/>
  <c r="A68" i="2"/>
  <c r="C67" i="2"/>
  <c r="B67" i="2"/>
  <c r="A67" i="2"/>
  <c r="C66" i="2"/>
  <c r="B66" i="2"/>
  <c r="A66" i="2"/>
  <c r="C65" i="2"/>
  <c r="B65" i="2"/>
  <c r="A65" i="2"/>
  <c r="C64" i="2"/>
  <c r="B64" i="2"/>
  <c r="A64" i="2"/>
  <c r="C63" i="2"/>
  <c r="B63" i="2"/>
  <c r="A63" i="2"/>
  <c r="C62" i="2"/>
  <c r="B62" i="2"/>
  <c r="A62" i="2"/>
  <c r="C61" i="2"/>
  <c r="B61" i="2"/>
  <c r="A61" i="2"/>
  <c r="C60" i="2"/>
  <c r="B60" i="2"/>
  <c r="A60" i="2"/>
  <c r="C59" i="2"/>
  <c r="B59" i="2"/>
  <c r="A59" i="2"/>
  <c r="C58" i="2"/>
  <c r="B58" i="2"/>
  <c r="A58" i="2"/>
  <c r="C57" i="2"/>
  <c r="B57" i="2"/>
  <c r="A57" i="2"/>
  <c r="C56" i="2"/>
  <c r="B56" i="2"/>
  <c r="A56" i="2"/>
  <c r="C55" i="2"/>
  <c r="B55" i="2"/>
  <c r="A55" i="2"/>
  <c r="C54" i="2"/>
  <c r="B54" i="2"/>
  <c r="A54" i="2"/>
  <c r="C53" i="2"/>
  <c r="B53" i="2"/>
  <c r="A53" i="2"/>
  <c r="C52" i="2"/>
  <c r="B52" i="2"/>
  <c r="A52" i="2"/>
  <c r="C51" i="2"/>
  <c r="B51" i="2"/>
  <c r="A51" i="2"/>
  <c r="C50" i="2"/>
  <c r="B50" i="2"/>
  <c r="A50" i="2"/>
  <c r="C49" i="2"/>
  <c r="B49" i="2"/>
  <c r="A49" i="2"/>
  <c r="C48" i="2"/>
  <c r="B48" i="2"/>
  <c r="A48" i="2"/>
  <c r="C47" i="2"/>
  <c r="B47" i="2"/>
  <c r="A47" i="2"/>
  <c r="C46" i="2"/>
  <c r="B46" i="2"/>
  <c r="A46" i="2"/>
  <c r="C45" i="2"/>
  <c r="B45" i="2"/>
  <c r="A45" i="2"/>
  <c r="C44" i="2"/>
  <c r="B44" i="2"/>
  <c r="A44" i="2"/>
  <c r="C43" i="2"/>
  <c r="B43" i="2"/>
  <c r="A43" i="2"/>
  <c r="C42" i="2"/>
  <c r="B42" i="2"/>
  <c r="A42" i="2"/>
  <c r="C41" i="2"/>
  <c r="B41" i="2"/>
  <c r="A41" i="2"/>
  <c r="C40" i="2"/>
  <c r="B40" i="2"/>
  <c r="A40" i="2"/>
  <c r="C39" i="2"/>
  <c r="B39" i="2"/>
  <c r="A39" i="2"/>
  <c r="C38" i="2"/>
  <c r="B38" i="2"/>
  <c r="A38" i="2"/>
  <c r="C37" i="2"/>
  <c r="B37" i="2"/>
  <c r="A37" i="2"/>
  <c r="C36" i="2"/>
  <c r="B36" i="2"/>
  <c r="A36" i="2"/>
  <c r="C35" i="2"/>
  <c r="B35" i="2"/>
  <c r="A35" i="2"/>
  <c r="C34" i="2"/>
  <c r="B34" i="2"/>
  <c r="A34" i="2"/>
  <c r="C33" i="2"/>
  <c r="B33" i="2"/>
  <c r="A33" i="2"/>
  <c r="C32" i="2"/>
  <c r="B32" i="2"/>
  <c r="A32" i="2"/>
  <c r="C31" i="2"/>
  <c r="B31" i="2"/>
  <c r="A31" i="2"/>
  <c r="C30" i="2"/>
  <c r="B30" i="2"/>
  <c r="A30" i="2"/>
  <c r="C29" i="2"/>
  <c r="B29" i="2"/>
  <c r="A29" i="2"/>
  <c r="C28" i="2"/>
  <c r="B28" i="2"/>
  <c r="A28" i="2"/>
  <c r="C367" i="2"/>
  <c r="B367" i="2"/>
  <c r="A367" i="2"/>
  <c r="A4" i="2"/>
  <c r="D135" i="2" l="1"/>
  <c r="D137" i="2"/>
  <c r="D139" i="2"/>
  <c r="D141" i="2"/>
  <c r="D143" i="2"/>
  <c r="D145" i="2"/>
  <c r="D147" i="2"/>
  <c r="D149" i="2"/>
  <c r="D151" i="2"/>
  <c r="D153" i="2"/>
  <c r="D155" i="2"/>
  <c r="D157" i="2"/>
  <c r="D159" i="2"/>
  <c r="D161" i="2"/>
  <c r="D163" i="2"/>
  <c r="D165" i="2"/>
  <c r="D167" i="2"/>
  <c r="D169" i="2"/>
  <c r="D171" i="2"/>
  <c r="D173" i="2"/>
  <c r="D175" i="2"/>
  <c r="D177" i="2"/>
  <c r="D179" i="2"/>
  <c r="D181" i="2"/>
  <c r="D183" i="2"/>
  <c r="D185" i="2"/>
  <c r="D187" i="2"/>
  <c r="D189" i="2"/>
  <c r="D191" i="2"/>
  <c r="D193" i="2"/>
  <c r="D195" i="2"/>
  <c r="D197" i="2"/>
  <c r="D199" i="2"/>
  <c r="D201" i="2"/>
  <c r="D203" i="2"/>
  <c r="D205" i="2"/>
  <c r="D207" i="2"/>
  <c r="D209" i="2"/>
  <c r="D211" i="2"/>
  <c r="D213" i="2"/>
  <c r="D215" i="2"/>
  <c r="D217" i="2"/>
  <c r="D219" i="2"/>
  <c r="D221" i="2"/>
  <c r="D223" i="2"/>
  <c r="D225" i="2"/>
  <c r="D227" i="2"/>
  <c r="D229" i="2"/>
  <c r="D231" i="2"/>
  <c r="D233" i="2"/>
  <c r="D235" i="2"/>
  <c r="D237" i="2"/>
  <c r="D239" i="2"/>
  <c r="E241" i="2"/>
  <c r="E245" i="2"/>
  <c r="E249" i="2"/>
  <c r="E253" i="2"/>
  <c r="E257" i="2"/>
  <c r="E261" i="2"/>
  <c r="E265" i="2"/>
  <c r="E269" i="2"/>
  <c r="E273" i="2"/>
  <c r="E277" i="2"/>
  <c r="E281" i="2"/>
  <c r="E368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D244" i="2"/>
  <c r="D248" i="2"/>
  <c r="D252" i="2"/>
  <c r="D256" i="2"/>
  <c r="D260" i="2"/>
  <c r="D264" i="2"/>
  <c r="D268" i="2"/>
  <c r="D272" i="2"/>
  <c r="D276" i="2"/>
  <c r="D280" i="2"/>
  <c r="E244" i="2"/>
  <c r="E252" i="2"/>
  <c r="E260" i="2"/>
  <c r="E268" i="2"/>
  <c r="E276" i="2"/>
  <c r="E367" i="2"/>
  <c r="E248" i="2"/>
  <c r="E256" i="2"/>
  <c r="E264" i="2"/>
  <c r="E272" i="2"/>
  <c r="E280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22" i="2"/>
  <c r="E223" i="2"/>
  <c r="E224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D240" i="2"/>
  <c r="D242" i="2"/>
  <c r="E242" i="2"/>
  <c r="E243" i="2"/>
  <c r="D246" i="2"/>
  <c r="E246" i="2"/>
  <c r="E247" i="2"/>
  <c r="D250" i="2"/>
  <c r="E250" i="2"/>
  <c r="E251" i="2"/>
  <c r="D254" i="2"/>
  <c r="E254" i="2"/>
  <c r="E255" i="2"/>
  <c r="D258" i="2"/>
  <c r="E258" i="2"/>
  <c r="E259" i="2"/>
  <c r="D262" i="2"/>
  <c r="E262" i="2"/>
  <c r="E263" i="2"/>
  <c r="D266" i="2"/>
  <c r="E266" i="2"/>
  <c r="E267" i="2"/>
  <c r="D270" i="2"/>
  <c r="E270" i="2"/>
  <c r="E271" i="2"/>
  <c r="D274" i="2"/>
  <c r="E274" i="2"/>
  <c r="E275" i="2"/>
  <c r="D278" i="2"/>
  <c r="E278" i="2"/>
  <c r="E279" i="2"/>
  <c r="E283" i="2"/>
  <c r="E284" i="2"/>
  <c r="E285" i="2"/>
  <c r="E286" i="2"/>
  <c r="E287" i="2"/>
  <c r="E288" i="2"/>
  <c r="E289" i="2"/>
  <c r="E290" i="2"/>
  <c r="E291" i="2"/>
  <c r="E292" i="2"/>
  <c r="E293" i="2"/>
  <c r="E294" i="2"/>
  <c r="E295" i="2"/>
  <c r="E296" i="2"/>
  <c r="E297" i="2"/>
  <c r="E298" i="2"/>
  <c r="E299" i="2"/>
  <c r="E300" i="2"/>
  <c r="E301" i="2"/>
  <c r="E302" i="2"/>
  <c r="E303" i="2"/>
  <c r="E304" i="2"/>
  <c r="E305" i="2"/>
  <c r="E306" i="2"/>
  <c r="E307" i="2"/>
  <c r="E308" i="2"/>
  <c r="E309" i="2"/>
  <c r="E310" i="2"/>
  <c r="E311" i="2"/>
  <c r="E312" i="2"/>
  <c r="E313" i="2"/>
  <c r="E314" i="2"/>
  <c r="E315" i="2"/>
  <c r="E316" i="2"/>
  <c r="E317" i="2"/>
  <c r="E318" i="2"/>
  <c r="E319" i="2"/>
  <c r="E320" i="2"/>
  <c r="E321" i="2"/>
  <c r="E322" i="2"/>
  <c r="E323" i="2"/>
  <c r="E324" i="2"/>
  <c r="E325" i="2"/>
  <c r="E326" i="2"/>
  <c r="E327" i="2"/>
  <c r="E328" i="2"/>
  <c r="E329" i="2"/>
  <c r="E330" i="2"/>
  <c r="E331" i="2"/>
  <c r="E332" i="2"/>
  <c r="E333" i="2"/>
  <c r="E334" i="2"/>
  <c r="E335" i="2"/>
  <c r="E336" i="2"/>
  <c r="E337" i="2"/>
  <c r="E338" i="2"/>
  <c r="E339" i="2"/>
  <c r="E340" i="2"/>
  <c r="E341" i="2"/>
  <c r="E342" i="2"/>
  <c r="E343" i="2"/>
  <c r="E344" i="2"/>
  <c r="E345" i="2"/>
  <c r="E346" i="2"/>
  <c r="E347" i="2"/>
  <c r="E348" i="2"/>
  <c r="E349" i="2"/>
  <c r="E350" i="2"/>
  <c r="E351" i="2"/>
  <c r="E352" i="2"/>
  <c r="E353" i="2"/>
  <c r="E354" i="2"/>
  <c r="E355" i="2"/>
  <c r="E356" i="2"/>
  <c r="E357" i="2"/>
  <c r="E358" i="2"/>
  <c r="E359" i="2"/>
  <c r="E360" i="2"/>
  <c r="E361" i="2"/>
  <c r="E362" i="2"/>
  <c r="E363" i="2"/>
  <c r="E364" i="2"/>
  <c r="E365" i="2"/>
  <c r="E366" i="2"/>
  <c r="D368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6" i="2"/>
  <c r="D138" i="2"/>
  <c r="D140" i="2"/>
  <c r="D142" i="2"/>
  <c r="D144" i="2"/>
  <c r="D146" i="2"/>
  <c r="D148" i="2"/>
  <c r="D150" i="2"/>
  <c r="D152" i="2"/>
  <c r="D154" i="2"/>
  <c r="D156" i="2"/>
  <c r="D158" i="2"/>
  <c r="D160" i="2"/>
  <c r="D162" i="2"/>
  <c r="D164" i="2"/>
  <c r="D166" i="2"/>
  <c r="D168" i="2"/>
  <c r="D170" i="2"/>
  <c r="D172" i="2"/>
  <c r="D174" i="2"/>
  <c r="D176" i="2"/>
  <c r="D178" i="2"/>
  <c r="D180" i="2"/>
  <c r="D182" i="2"/>
  <c r="D184" i="2"/>
  <c r="D186" i="2"/>
  <c r="D188" i="2"/>
  <c r="D190" i="2"/>
  <c r="D192" i="2"/>
  <c r="D194" i="2"/>
  <c r="D196" i="2"/>
  <c r="D198" i="2"/>
  <c r="D200" i="2"/>
  <c r="D202" i="2"/>
  <c r="D204" i="2"/>
  <c r="D206" i="2"/>
  <c r="D208" i="2"/>
  <c r="D210" i="2"/>
  <c r="D212" i="2"/>
  <c r="D214" i="2"/>
  <c r="D216" i="2"/>
  <c r="D218" i="2"/>
  <c r="D220" i="2"/>
  <c r="D222" i="2"/>
  <c r="D224" i="2"/>
  <c r="D226" i="2"/>
  <c r="D228" i="2"/>
  <c r="D230" i="2"/>
  <c r="D232" i="2"/>
  <c r="D234" i="2"/>
  <c r="D236" i="2"/>
  <c r="D238" i="2"/>
  <c r="E240" i="2"/>
  <c r="D241" i="2"/>
  <c r="D243" i="2"/>
  <c r="D245" i="2"/>
  <c r="D247" i="2"/>
  <c r="D249" i="2"/>
  <c r="D251" i="2"/>
  <c r="D253" i="2"/>
  <c r="D255" i="2"/>
  <c r="D257" i="2"/>
  <c r="D259" i="2"/>
  <c r="D261" i="2"/>
  <c r="D263" i="2"/>
  <c r="D265" i="2"/>
  <c r="D267" i="2"/>
  <c r="D269" i="2"/>
  <c r="D271" i="2"/>
  <c r="D273" i="2"/>
  <c r="D275" i="2"/>
  <c r="D277" i="2"/>
  <c r="D279" i="2"/>
  <c r="D281" i="2"/>
  <c r="E282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A3" i="2"/>
  <c r="B3" i="2"/>
  <c r="C3" i="2"/>
  <c r="B4" i="2"/>
  <c r="C4" i="2"/>
  <c r="A5" i="2"/>
  <c r="B5" i="2"/>
  <c r="C5" i="2"/>
  <c r="A6" i="2"/>
  <c r="B6" i="2"/>
  <c r="C6" i="2"/>
  <c r="A7" i="2"/>
  <c r="B7" i="2"/>
  <c r="C7" i="2"/>
  <c r="A8" i="2"/>
  <c r="B8" i="2"/>
  <c r="C8" i="2"/>
  <c r="A9" i="2"/>
  <c r="B9" i="2"/>
  <c r="C9" i="2"/>
  <c r="A10" i="2"/>
  <c r="B10" i="2"/>
  <c r="C10" i="2"/>
  <c r="A11" i="2"/>
  <c r="B11" i="2"/>
  <c r="C11" i="2"/>
  <c r="A12" i="2"/>
  <c r="B12" i="2"/>
  <c r="C12" i="2"/>
  <c r="A13" i="2"/>
  <c r="B13" i="2"/>
  <c r="C13" i="2"/>
  <c r="A14" i="2"/>
  <c r="B14" i="2"/>
  <c r="C14" i="2"/>
  <c r="A15" i="2"/>
  <c r="B15" i="2"/>
  <c r="C15" i="2"/>
  <c r="A16" i="2"/>
  <c r="B16" i="2"/>
  <c r="C16" i="2"/>
  <c r="A17" i="2"/>
  <c r="B17" i="2"/>
  <c r="C17" i="2"/>
  <c r="A18" i="2"/>
  <c r="B18" i="2"/>
  <c r="C18" i="2"/>
  <c r="A19" i="2"/>
  <c r="B19" i="2"/>
  <c r="C19" i="2"/>
  <c r="A20" i="2"/>
  <c r="B20" i="2"/>
  <c r="C20" i="2"/>
  <c r="A21" i="2"/>
  <c r="B21" i="2"/>
  <c r="C21" i="2"/>
  <c r="A22" i="2"/>
  <c r="B22" i="2"/>
  <c r="C22" i="2"/>
  <c r="A23" i="2"/>
  <c r="B23" i="2"/>
  <c r="C23" i="2"/>
  <c r="A24" i="2"/>
  <c r="B24" i="2"/>
  <c r="C24" i="2"/>
  <c r="A25" i="2"/>
  <c r="B25" i="2"/>
  <c r="C25" i="2"/>
  <c r="A26" i="2"/>
  <c r="B26" i="2"/>
  <c r="C26" i="2"/>
  <c r="A27" i="2"/>
  <c r="B27" i="2"/>
  <c r="C27" i="2"/>
  <c r="E26" i="2" l="1"/>
  <c r="D25" i="2"/>
  <c r="D14" i="2"/>
  <c r="E27" i="2"/>
  <c r="D26" i="2"/>
  <c r="O7" i="2"/>
  <c r="P7" i="2"/>
  <c r="P8" i="2" s="1"/>
  <c r="D21" i="2"/>
  <c r="D27" i="2"/>
  <c r="E25" i="2"/>
  <c r="E21" i="2"/>
  <c r="E19" i="2"/>
  <c r="D17" i="2"/>
  <c r="E15" i="2"/>
  <c r="E14" i="2"/>
  <c r="D13" i="2"/>
  <c r="E3" i="2"/>
  <c r="D19" i="2"/>
  <c r="E17" i="2"/>
  <c r="D15" i="2"/>
  <c r="E20" i="2"/>
  <c r="E6" i="2"/>
  <c r="D5" i="2"/>
  <c r="D3" i="2"/>
  <c r="D20" i="2"/>
  <c r="D23" i="2"/>
  <c r="E22" i="2"/>
  <c r="D18" i="2"/>
  <c r="D12" i="2"/>
  <c r="D11" i="2"/>
  <c r="E9" i="2"/>
  <c r="E7" i="2"/>
  <c r="D6" i="2"/>
  <c r="E4" i="2"/>
  <c r="E23" i="2"/>
  <c r="D9" i="2"/>
  <c r="E11" i="2"/>
  <c r="D24" i="2"/>
  <c r="E18" i="2"/>
  <c r="D16" i="2"/>
  <c r="E13" i="2"/>
  <c r="E12" i="2"/>
  <c r="E10" i="2"/>
  <c r="D8" i="2"/>
  <c r="E5" i="2"/>
  <c r="D4" i="2"/>
  <c r="E24" i="2"/>
  <c r="E8" i="2"/>
  <c r="D22" i="2"/>
  <c r="D7" i="2"/>
  <c r="D10" i="2"/>
  <c r="E16" i="2"/>
  <c r="O8" i="2" l="1"/>
  <c r="Q7" i="2"/>
  <c r="R7" i="2"/>
  <c r="R8" i="2" s="1"/>
  <c r="R10" i="2" l="1"/>
  <c r="Q10" i="2"/>
  <c r="Q8" i="2"/>
  <c r="O9" i="2" s="1"/>
  <c r="O10" i="2" l="1"/>
  <c r="P10" i="2"/>
  <c r="Q9" i="2"/>
  <c r="R9" i="2"/>
</calcChain>
</file>

<file path=xl/sharedStrings.xml><?xml version="1.0" encoding="utf-8"?>
<sst xmlns="http://schemas.openxmlformats.org/spreadsheetml/2006/main" count="33" uniqueCount="25">
  <si>
    <t>EMP ID</t>
  </si>
  <si>
    <t>NAME</t>
  </si>
  <si>
    <t>DATE</t>
  </si>
  <si>
    <t>REMARKS</t>
  </si>
  <si>
    <t>IN TIME</t>
  </si>
  <si>
    <t>OUT TIME</t>
  </si>
  <si>
    <t>ATTENDED HRS</t>
  </si>
  <si>
    <t>EXCEPTION IN TIME</t>
  </si>
  <si>
    <t>EXCEPTION OUT TIME</t>
  </si>
  <si>
    <t>EXCEPTION HRS</t>
  </si>
  <si>
    <t>TOTAL HRS</t>
  </si>
  <si>
    <t>REASON</t>
  </si>
  <si>
    <t xml:space="preserve"> Date</t>
  </si>
  <si>
    <t>Worked</t>
  </si>
  <si>
    <t>Expected</t>
  </si>
  <si>
    <t>Hrs</t>
  </si>
  <si>
    <t>Min</t>
  </si>
  <si>
    <t>EDIT TIMING</t>
  </si>
  <si>
    <t xml:space="preserve"> Total</t>
  </si>
  <si>
    <t xml:space="preserve"> In Hours</t>
  </si>
  <si>
    <t>Re-Ordering</t>
  </si>
  <si>
    <t xml:space="preserve"> Difference</t>
  </si>
  <si>
    <r>
      <t>Time Calculator</t>
    </r>
    <r>
      <rPr>
        <vertAlign val="superscript"/>
        <sz val="14"/>
        <color theme="3"/>
        <rFont val="Calibri"/>
        <family val="2"/>
      </rPr>
      <t>②</t>
    </r>
  </si>
  <si>
    <r>
      <rPr>
        <u/>
        <sz val="7"/>
        <color theme="5" tint="-0.249977111117893"/>
        <rFont val="Calibri"/>
        <family val="2"/>
      </rPr>
      <t xml:space="preserve">Powered by </t>
    </r>
    <r>
      <rPr>
        <sz val="14"/>
        <color theme="5" tint="-0.249977111117893"/>
        <rFont val="Blackadder ITC"/>
        <family val="5"/>
      </rPr>
      <t>PremjiY</t>
    </r>
  </si>
  <si>
    <t>Please feel free to share your suggestions/improvement at premjiy@hexaware.com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</si>
</sst>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d\-mmm\-yy;@"/>
  </numFmts>
  <fonts count="24" x14ac:knownFonts="1">
    <font>
      <sz val="11"/>
      <color indexed="8"/>
      <name val="Calibri"/>
    </font>
    <font>
      <u/>
      <sz val="11"/>
      <color indexed="4"/>
      <name val="Calibri"/>
    </font>
    <font>
      <sz val="12"/>
      <color indexed="8"/>
      <name val="Calibri"/>
    </font>
    <font>
      <b/>
      <sz val="10"/>
      <color indexed="40"/>
      <name val="Verdana"/>
    </font>
    <font>
      <b/>
      <sz val="12"/>
      <name val="Calibri"/>
    </font>
    <font>
      <b/>
      <sz val="16"/>
      <name val="Calibri"/>
    </font>
    <font>
      <sz val="28"/>
      <color indexed="4"/>
      <name val="Calibri"/>
    </font>
    <font>
      <b/>
      <sz val="8"/>
      <color rgb="FFFF3300"/>
      <name val="Verdana"/>
      <family val="2"/>
    </font>
    <font>
      <b/>
      <sz val="8"/>
      <color rgb="FF000000"/>
      <name val="Verdana"/>
      <family val="2"/>
    </font>
    <font>
      <sz val="8"/>
      <color rgb="FF000000"/>
      <name val="Verdana"/>
      <family val="2"/>
    </font>
    <font>
      <sz val="12"/>
      <color theme="3"/>
      <name val="Calibri"/>
      <family val="2"/>
    </font>
    <font>
      <b/>
      <sz val="12"/>
      <color theme="3"/>
      <name val="Calibri"/>
      <family val="2"/>
    </font>
    <font>
      <sz val="11"/>
      <color theme="3"/>
      <name val="Calibri"/>
      <family val="2"/>
    </font>
    <font>
      <b/>
      <sz val="8"/>
      <color rgb="FF993300"/>
      <name val="Verdana"/>
      <family val="2"/>
    </font>
    <font>
      <b/>
      <sz val="8"/>
      <color rgb="FFFF2F2F"/>
      <name val="Verdana"/>
      <family val="2"/>
    </font>
    <font>
      <sz val="12"/>
      <color theme="0" tint="-4.9989318521683403E-2"/>
      <name val="Calibri"/>
      <family val="2"/>
    </font>
    <font>
      <sz val="22"/>
      <color theme="3"/>
      <name val="Calibri"/>
      <family val="2"/>
    </font>
    <font>
      <vertAlign val="superscript"/>
      <sz val="14"/>
      <color theme="3"/>
      <name val="Calibri"/>
      <family val="2"/>
    </font>
    <font>
      <b/>
      <sz val="11"/>
      <color theme="3"/>
      <name val="Calibri"/>
      <family val="2"/>
    </font>
    <font>
      <sz val="8"/>
      <color theme="5" tint="-0.249977111117893"/>
      <name val="Calibri"/>
      <family val="2"/>
    </font>
    <font>
      <u/>
      <sz val="7"/>
      <color theme="5" tint="-0.249977111117893"/>
      <name val="Calibri"/>
      <family val="2"/>
    </font>
    <font>
      <sz val="14"/>
      <color theme="5" tint="-0.249977111117893"/>
      <name val="Blackadder ITC"/>
      <family val="5"/>
    </font>
    <font>
      <sz val="12"/>
      <color theme="5" tint="-0.249977111117893"/>
      <name val="Calibri"/>
      <family val="2"/>
    </font>
    <font>
      <sz val="10"/>
      <color rgb="FF00206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rgb="FFC4E5F5"/>
        <bgColor indexed="64"/>
      </patternFill>
    </fill>
    <fill>
      <patternFill patternType="solid">
        <fgColor theme="0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gradientFill type="path">
        <stop position="0">
          <color theme="0"/>
        </stop>
        <stop position="1">
          <color theme="4"/>
        </stop>
      </gradientFill>
    </fill>
    <fill>
      <gradientFill type="path">
        <stop position="0">
          <color theme="0"/>
        </stop>
        <stop position="1">
          <color theme="3" tint="0.80001220740379042"/>
        </stop>
      </gradientFill>
    </fill>
    <fill>
      <patternFill patternType="solid">
        <fgColor theme="0" tint="-4.9989318521683403E-2"/>
        <bgColor indexed="64"/>
      </patternFill>
    </fill>
    <fill>
      <patternFill patternType="solid">
        <fgColor rgb="FFEDF2F7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87">
    <xf numFmtId="0" fontId="0" fillId="0" borderId="0" xfId="0"/>
    <xf numFmtId="0" fontId="3" fillId="2" borderId="1" xfId="0" applyNumberFormat="1" applyFont="1" applyFill="1" applyBorder="1" applyAlignment="1" applyProtection="1">
      <alignment horizontal="center" vertical="center" wrapText="1"/>
      <protection hidden="1"/>
    </xf>
    <xf numFmtId="164" fontId="3" fillId="2" borderId="1" xfId="0" applyNumberFormat="1" applyFont="1" applyFill="1" applyBorder="1" applyAlignment="1" applyProtection="1">
      <alignment horizontal="center" vertical="center" wrapText="1"/>
      <protection hidden="1"/>
    </xf>
    <xf numFmtId="49" fontId="3" fillId="2" borderId="1" xfId="0" applyNumberFormat="1" applyFont="1" applyFill="1" applyBorder="1" applyAlignment="1" applyProtection="1">
      <alignment horizontal="center" vertical="center" wrapText="1"/>
      <protection hidden="1"/>
    </xf>
    <xf numFmtId="0" fontId="0" fillId="2" borderId="0" xfId="0" applyNumberFormat="1" applyFont="1" applyFill="1" applyBorder="1" applyAlignment="1" applyProtection="1">
      <protection hidden="1"/>
    </xf>
    <xf numFmtId="0" fontId="9" fillId="3" borderId="9" xfId="0" applyFont="1" applyFill="1" applyBorder="1" applyAlignment="1" applyProtection="1">
      <alignment vertical="center" wrapText="1"/>
      <protection locked="0"/>
    </xf>
    <xf numFmtId="15" fontId="9" fillId="3" borderId="9" xfId="0" applyNumberFormat="1" applyFont="1" applyFill="1" applyBorder="1" applyAlignment="1" applyProtection="1">
      <alignment vertical="center" wrapText="1"/>
      <protection locked="0"/>
    </xf>
    <xf numFmtId="0" fontId="9" fillId="3" borderId="9" xfId="0" applyFont="1" applyFill="1" applyBorder="1" applyAlignment="1" applyProtection="1">
      <alignment vertical="center"/>
      <protection locked="0"/>
    </xf>
    <xf numFmtId="20" fontId="9" fillId="3" borderId="9" xfId="0" applyNumberFormat="1" applyFont="1" applyFill="1" applyBorder="1" applyAlignment="1" applyProtection="1">
      <alignment horizontal="center" vertical="center" wrapText="1"/>
      <protection locked="0"/>
    </xf>
    <xf numFmtId="0" fontId="9" fillId="3" borderId="9" xfId="0" applyFont="1" applyFill="1" applyBorder="1" applyAlignment="1" applyProtection="1">
      <alignment horizontal="center" vertical="center" wrapText="1"/>
      <protection locked="0"/>
    </xf>
    <xf numFmtId="0" fontId="0" fillId="2" borderId="0" xfId="0" applyNumberFormat="1" applyFont="1" applyFill="1" applyBorder="1" applyAlignment="1" applyProtection="1">
      <protection locked="0"/>
    </xf>
    <xf numFmtId="49" fontId="0" fillId="2" borderId="0" xfId="0" applyNumberFormat="1" applyFont="1" applyFill="1" applyBorder="1" applyAlignment="1" applyProtection="1">
      <protection locked="0"/>
    </xf>
    <xf numFmtId="164" fontId="0" fillId="2" borderId="0" xfId="0" applyNumberFormat="1" applyFont="1" applyFill="1" applyBorder="1" applyAlignment="1" applyProtection="1">
      <protection locked="0"/>
    </xf>
    <xf numFmtId="0" fontId="7" fillId="3" borderId="9" xfId="0" applyFont="1" applyFill="1" applyBorder="1" applyAlignment="1">
      <alignment vertical="center" wrapText="1"/>
    </xf>
    <xf numFmtId="15" fontId="7" fillId="3" borderId="9" xfId="0" applyNumberFormat="1" applyFont="1" applyFill="1" applyBorder="1" applyAlignment="1">
      <alignment vertical="center" wrapText="1"/>
    </xf>
    <xf numFmtId="0" fontId="7" fillId="3" borderId="9" xfId="0" applyFont="1" applyFill="1" applyBorder="1" applyAlignment="1">
      <alignment vertical="center"/>
    </xf>
    <xf numFmtId="20" fontId="7" fillId="3" borderId="9" xfId="0" applyNumberFormat="1" applyFont="1" applyFill="1" applyBorder="1" applyAlignment="1">
      <alignment horizontal="center" vertical="center" wrapText="1"/>
    </xf>
    <xf numFmtId="0" fontId="8" fillId="3" borderId="9" xfId="0" applyFont="1" applyFill="1" applyBorder="1" applyAlignment="1">
      <alignment vertical="center" wrapText="1"/>
    </xf>
    <xf numFmtId="0" fontId="9" fillId="3" borderId="9" xfId="0" applyFont="1" applyFill="1" applyBorder="1" applyAlignment="1">
      <alignment vertical="center" wrapText="1"/>
    </xf>
    <xf numFmtId="15" fontId="9" fillId="3" borderId="9" xfId="0" applyNumberFormat="1" applyFont="1" applyFill="1" applyBorder="1" applyAlignment="1">
      <alignment vertical="center" wrapText="1"/>
    </xf>
    <xf numFmtId="0" fontId="9" fillId="3" borderId="9" xfId="0" applyFont="1" applyFill="1" applyBorder="1" applyAlignment="1">
      <alignment vertical="center"/>
    </xf>
    <xf numFmtId="20" fontId="9" fillId="3" borderId="9" xfId="0" applyNumberFormat="1" applyFont="1" applyFill="1" applyBorder="1" applyAlignment="1">
      <alignment horizontal="center" vertical="center" wrapText="1"/>
    </xf>
    <xf numFmtId="0" fontId="9" fillId="3" borderId="9" xfId="0" applyFont="1" applyFill="1" applyBorder="1" applyAlignment="1">
      <alignment horizontal="center" vertical="center" wrapText="1"/>
    </xf>
    <xf numFmtId="0" fontId="10" fillId="7" borderId="1" xfId="0" applyNumberFormat="1" applyFont="1" applyFill="1" applyBorder="1" applyAlignment="1" applyProtection="1">
      <alignment horizontal="center" vertical="center"/>
      <protection hidden="1"/>
    </xf>
    <xf numFmtId="0" fontId="4" fillId="6" borderId="3" xfId="0" applyNumberFormat="1" applyFont="1" applyFill="1" applyBorder="1" applyAlignment="1" applyProtection="1">
      <alignment horizontal="center" vertical="center"/>
      <protection hidden="1"/>
    </xf>
    <xf numFmtId="0" fontId="11" fillId="6" borderId="3" xfId="0" applyNumberFormat="1" applyFont="1" applyFill="1" applyBorder="1" applyAlignment="1" applyProtection="1">
      <alignment horizontal="center" vertical="center"/>
      <protection hidden="1"/>
    </xf>
    <xf numFmtId="0" fontId="2" fillId="4" borderId="0" xfId="0" applyNumberFormat="1" applyFont="1" applyFill="1" applyBorder="1" applyAlignment="1" applyProtection="1">
      <alignment vertical="center"/>
      <protection hidden="1"/>
    </xf>
    <xf numFmtId="0" fontId="13" fillId="3" borderId="9" xfId="0" applyFont="1" applyFill="1" applyBorder="1" applyAlignment="1">
      <alignment vertical="center" wrapText="1"/>
    </xf>
    <xf numFmtId="15" fontId="13" fillId="3" borderId="9" xfId="0" applyNumberFormat="1" applyFont="1" applyFill="1" applyBorder="1" applyAlignment="1">
      <alignment vertical="center" wrapText="1"/>
    </xf>
    <xf numFmtId="0" fontId="13" fillId="3" borderId="9" xfId="0" applyFont="1" applyFill="1" applyBorder="1" applyAlignment="1">
      <alignment vertical="center"/>
    </xf>
    <xf numFmtId="20" fontId="13" fillId="3" borderId="9" xfId="0" applyNumberFormat="1" applyFont="1" applyFill="1" applyBorder="1" applyAlignment="1">
      <alignment horizontal="center" vertical="center" wrapText="1"/>
    </xf>
    <xf numFmtId="0" fontId="7" fillId="3" borderId="9" xfId="0" applyFont="1" applyFill="1" applyBorder="1" applyAlignment="1">
      <alignment horizontal="center" vertical="center" wrapText="1"/>
    </xf>
    <xf numFmtId="0" fontId="14" fillId="3" borderId="9" xfId="0" applyFont="1" applyFill="1" applyBorder="1" applyAlignment="1">
      <alignment vertical="center" wrapText="1"/>
    </xf>
    <xf numFmtId="15" fontId="14" fillId="3" borderId="9" xfId="0" applyNumberFormat="1" applyFont="1" applyFill="1" applyBorder="1" applyAlignment="1">
      <alignment vertical="center" wrapText="1"/>
    </xf>
    <xf numFmtId="0" fontId="14" fillId="3" borderId="9" xfId="0" applyFont="1" applyFill="1" applyBorder="1" applyAlignment="1">
      <alignment vertical="center"/>
    </xf>
    <xf numFmtId="0" fontId="14" fillId="3" borderId="9" xfId="0" applyFont="1" applyFill="1" applyBorder="1" applyAlignment="1">
      <alignment horizontal="center" vertical="center" wrapText="1"/>
    </xf>
    <xf numFmtId="0" fontId="2" fillId="8" borderId="0" xfId="0" applyNumberFormat="1" applyFont="1" applyFill="1" applyBorder="1" applyAlignment="1" applyProtection="1">
      <alignment vertical="center"/>
      <protection hidden="1"/>
    </xf>
    <xf numFmtId="0" fontId="2" fillId="8" borderId="0" xfId="0" applyNumberFormat="1" applyFont="1" applyFill="1" applyBorder="1" applyAlignment="1" applyProtection="1">
      <alignment horizontal="center" vertical="center"/>
      <protection hidden="1"/>
    </xf>
    <xf numFmtId="0" fontId="2" fillId="8" borderId="0" xfId="0" applyNumberFormat="1" applyFont="1" applyFill="1" applyBorder="1" applyAlignment="1" applyProtection="1">
      <alignment horizontal="left" vertical="center"/>
      <protection hidden="1"/>
    </xf>
    <xf numFmtId="0" fontId="15" fillId="8" borderId="0" xfId="0" applyNumberFormat="1" applyFont="1" applyFill="1" applyBorder="1" applyAlignment="1" applyProtection="1">
      <alignment horizontal="left" vertical="center"/>
      <protection hidden="1"/>
    </xf>
    <xf numFmtId="0" fontId="15" fillId="8" borderId="0" xfId="0" applyNumberFormat="1" applyFont="1" applyFill="1" applyBorder="1" applyAlignment="1" applyProtection="1">
      <alignment horizontal="center" vertical="center"/>
      <protection hidden="1"/>
    </xf>
    <xf numFmtId="0" fontId="6" fillId="8" borderId="2" xfId="1" applyFont="1" applyFill="1" applyBorder="1" applyAlignment="1" applyProtection="1">
      <alignment horizontal="center" wrapText="1"/>
      <protection hidden="1"/>
    </xf>
    <xf numFmtId="0" fontId="6" fillId="8" borderId="5" xfId="1" applyFont="1" applyFill="1" applyBorder="1" applyAlignment="1" applyProtection="1">
      <alignment horizontal="center" wrapText="1"/>
      <protection hidden="1"/>
    </xf>
    <xf numFmtId="0" fontId="6" fillId="8" borderId="3" xfId="1" applyNumberFormat="1" applyFont="1" applyFill="1" applyBorder="1" applyAlignment="1" applyProtection="1">
      <alignment horizontal="center" vertical="center" wrapText="1"/>
      <protection hidden="1"/>
    </xf>
    <xf numFmtId="0" fontId="6" fillId="8" borderId="6" xfId="1" applyFont="1" applyFill="1" applyBorder="1" applyAlignment="1" applyProtection="1">
      <alignment horizontal="center" wrapText="1"/>
      <protection hidden="1"/>
    </xf>
    <xf numFmtId="0" fontId="6" fillId="8" borderId="7" xfId="1" applyFont="1" applyFill="1" applyBorder="1" applyAlignment="1" applyProtection="1">
      <alignment horizontal="center" wrapText="1"/>
      <protection hidden="1"/>
    </xf>
    <xf numFmtId="0" fontId="6" fillId="8" borderId="8" xfId="1" applyNumberFormat="1" applyFont="1" applyFill="1" applyBorder="1" applyAlignment="1" applyProtection="1">
      <alignment horizontal="center" vertical="center" wrapText="1"/>
      <protection hidden="1"/>
    </xf>
    <xf numFmtId="0" fontId="5" fillId="6" borderId="16" xfId="0" applyNumberFormat="1" applyFont="1" applyFill="1" applyBorder="1" applyAlignment="1" applyProtection="1">
      <alignment horizontal="center" vertical="center"/>
      <protection hidden="1"/>
    </xf>
    <xf numFmtId="0" fontId="5" fillId="6" borderId="17" xfId="0" applyNumberFormat="1" applyFont="1" applyFill="1" applyBorder="1" applyAlignment="1" applyProtection="1">
      <alignment horizontal="center" vertical="center"/>
      <protection hidden="1"/>
    </xf>
    <xf numFmtId="0" fontId="10" fillId="7" borderId="11" xfId="0" applyNumberFormat="1" applyFont="1" applyFill="1" applyBorder="1" applyAlignment="1" applyProtection="1">
      <alignment horizontal="center" vertical="center"/>
      <protection hidden="1"/>
    </xf>
    <xf numFmtId="0" fontId="10" fillId="7" borderId="12" xfId="0" applyNumberFormat="1" applyFont="1" applyFill="1" applyBorder="1" applyAlignment="1" applyProtection="1">
      <alignment horizontal="center" vertical="center"/>
      <protection hidden="1"/>
    </xf>
    <xf numFmtId="0" fontId="10" fillId="7" borderId="13" xfId="0" applyNumberFormat="1" applyFont="1" applyFill="1" applyBorder="1" applyAlignment="1" applyProtection="1">
      <alignment horizontal="center" vertical="center"/>
      <protection hidden="1"/>
    </xf>
    <xf numFmtId="0" fontId="10" fillId="7" borderId="14" xfId="0" applyNumberFormat="1" applyFont="1" applyFill="1" applyBorder="1" applyAlignment="1" applyProtection="1">
      <alignment horizontal="center" vertical="center"/>
      <protection hidden="1"/>
    </xf>
    <xf numFmtId="0" fontId="10" fillId="7" borderId="15" xfId="0" applyNumberFormat="1" applyFont="1" applyFill="1" applyBorder="1" applyAlignment="1" applyProtection="1">
      <alignment horizontal="center" vertical="center"/>
      <protection hidden="1"/>
    </xf>
    <xf numFmtId="0" fontId="11" fillId="6" borderId="10" xfId="0" applyNumberFormat="1" applyFont="1" applyFill="1" applyBorder="1" applyAlignment="1" applyProtection="1">
      <alignment horizontal="left" vertical="center" wrapText="1"/>
      <protection hidden="1"/>
    </xf>
    <xf numFmtId="0" fontId="12" fillId="6" borderId="20" xfId="0" applyNumberFormat="1" applyFont="1" applyFill="1" applyBorder="1" applyAlignment="1" applyProtection="1">
      <protection hidden="1"/>
    </xf>
    <xf numFmtId="0" fontId="11" fillId="6" borderId="21" xfId="0" applyNumberFormat="1" applyFont="1" applyFill="1" applyBorder="1" applyAlignment="1" applyProtection="1">
      <alignment horizontal="center" vertical="center" wrapText="1"/>
      <protection hidden="1"/>
    </xf>
    <xf numFmtId="0" fontId="11" fillId="6" borderId="23" xfId="0" applyNumberFormat="1" applyFont="1" applyFill="1" applyBorder="1" applyAlignment="1" applyProtection="1">
      <alignment horizontal="center" vertical="center"/>
      <protection hidden="1"/>
    </xf>
    <xf numFmtId="0" fontId="11" fillId="6" borderId="24" xfId="0" applyNumberFormat="1" applyFont="1" applyFill="1" applyBorder="1" applyAlignment="1" applyProtection="1">
      <alignment horizontal="center" vertical="center"/>
      <protection hidden="1"/>
    </xf>
    <xf numFmtId="0" fontId="16" fillId="5" borderId="2" xfId="0" applyNumberFormat="1" applyFont="1" applyFill="1" applyBorder="1" applyAlignment="1" applyProtection="1">
      <alignment horizontal="center" vertical="center" wrapText="1"/>
      <protection hidden="1"/>
    </xf>
    <xf numFmtId="164" fontId="2" fillId="9" borderId="4" xfId="0" applyNumberFormat="1" applyFont="1" applyFill="1" applyBorder="1" applyAlignment="1" applyProtection="1">
      <alignment horizontal="left" vertical="center"/>
      <protection hidden="1"/>
    </xf>
    <xf numFmtId="0" fontId="2" fillId="9" borderId="26" xfId="0" applyNumberFormat="1" applyFont="1" applyFill="1" applyBorder="1" applyAlignment="1" applyProtection="1">
      <alignment horizontal="center" vertical="center"/>
      <protection hidden="1"/>
    </xf>
    <xf numFmtId="0" fontId="2" fillId="9" borderId="27" xfId="0" applyNumberFormat="1" applyFont="1" applyFill="1" applyBorder="1" applyAlignment="1" applyProtection="1">
      <alignment horizontal="center" vertical="center"/>
      <protection hidden="1"/>
    </xf>
    <xf numFmtId="0" fontId="2" fillId="9" borderId="14" xfId="0" applyNumberFormat="1" applyFont="1" applyFill="1" applyBorder="1" applyAlignment="1" applyProtection="1">
      <alignment horizontal="center" vertical="center"/>
      <protection hidden="1"/>
    </xf>
    <xf numFmtId="0" fontId="2" fillId="9" borderId="15" xfId="0" applyNumberFormat="1" applyFont="1" applyFill="1" applyBorder="1" applyAlignment="1" applyProtection="1">
      <alignment horizontal="center" vertical="center"/>
      <protection hidden="1"/>
    </xf>
    <xf numFmtId="0" fontId="2" fillId="9" borderId="23" xfId="0" applyNumberFormat="1" applyFont="1" applyFill="1" applyBorder="1" applyAlignment="1" applyProtection="1">
      <alignment horizontal="center" vertical="center"/>
      <protection hidden="1"/>
    </xf>
    <xf numFmtId="0" fontId="2" fillId="9" borderId="24" xfId="0" applyNumberFormat="1" applyFont="1" applyFill="1" applyBorder="1" applyAlignment="1" applyProtection="1">
      <alignment horizontal="center" vertical="center"/>
      <protection hidden="1"/>
    </xf>
    <xf numFmtId="0" fontId="16" fillId="5" borderId="5" xfId="0" applyNumberFormat="1" applyFont="1" applyFill="1" applyBorder="1" applyAlignment="1" applyProtection="1">
      <alignment horizontal="center" vertical="center" wrapText="1"/>
      <protection hidden="1"/>
    </xf>
    <xf numFmtId="0" fontId="10" fillId="7" borderId="26" xfId="0" applyNumberFormat="1" applyFont="1" applyFill="1" applyBorder="1" applyAlignment="1" applyProtection="1">
      <alignment horizontal="center" vertical="center"/>
      <protection hidden="1"/>
    </xf>
    <xf numFmtId="0" fontId="10" fillId="7" borderId="27" xfId="0" applyNumberFormat="1" applyFont="1" applyFill="1" applyBorder="1" applyAlignment="1" applyProtection="1">
      <alignment horizontal="center" vertical="center"/>
      <protection hidden="1"/>
    </xf>
    <xf numFmtId="0" fontId="10" fillId="7" borderId="23" xfId="0" applyNumberFormat="1" applyFont="1" applyFill="1" applyBorder="1" applyAlignment="1" applyProtection="1">
      <alignment horizontal="center" vertical="center"/>
      <protection hidden="1"/>
    </xf>
    <xf numFmtId="0" fontId="10" fillId="7" borderId="24" xfId="0" applyNumberFormat="1" applyFont="1" applyFill="1" applyBorder="1" applyAlignment="1" applyProtection="1">
      <alignment horizontal="center" vertical="center"/>
      <protection hidden="1"/>
    </xf>
    <xf numFmtId="0" fontId="18" fillId="6" borderId="22" xfId="0" applyNumberFormat="1" applyFont="1" applyFill="1" applyBorder="1" applyAlignment="1" applyProtection="1">
      <protection hidden="1"/>
    </xf>
    <xf numFmtId="0" fontId="11" fillId="6" borderId="11" xfId="0" applyNumberFormat="1" applyFont="1" applyFill="1" applyBorder="1" applyAlignment="1" applyProtection="1">
      <alignment horizontal="center" vertical="center" wrapText="1"/>
      <protection hidden="1"/>
    </xf>
    <xf numFmtId="0" fontId="12" fillId="6" borderId="13" xfId="0" applyNumberFormat="1" applyFont="1" applyFill="1" applyBorder="1" applyAlignment="1" applyProtection="1">
      <protection hidden="1"/>
    </xf>
    <xf numFmtId="0" fontId="16" fillId="5" borderId="25" xfId="0" applyNumberFormat="1" applyFont="1" applyFill="1" applyBorder="1" applyAlignment="1" applyProtection="1">
      <alignment horizontal="center" vertical="center" wrapText="1"/>
      <protection hidden="1"/>
    </xf>
    <xf numFmtId="0" fontId="16" fillId="5" borderId="6" xfId="0" applyNumberFormat="1" applyFont="1" applyFill="1" applyBorder="1" applyAlignment="1" applyProtection="1">
      <alignment horizontal="center" vertical="center" wrapText="1"/>
      <protection hidden="1"/>
    </xf>
    <xf numFmtId="0" fontId="16" fillId="5" borderId="7" xfId="0" applyNumberFormat="1" applyFont="1" applyFill="1" applyBorder="1" applyAlignment="1" applyProtection="1">
      <alignment horizontal="center" vertical="center" wrapText="1"/>
      <protection hidden="1"/>
    </xf>
    <xf numFmtId="0" fontId="16" fillId="5" borderId="8" xfId="0" applyNumberFormat="1" applyFont="1" applyFill="1" applyBorder="1" applyAlignment="1" applyProtection="1">
      <alignment horizontal="center" vertical="center" wrapText="1"/>
      <protection hidden="1"/>
    </xf>
    <xf numFmtId="0" fontId="19" fillId="6" borderId="19" xfId="0" applyNumberFormat="1" applyFont="1" applyFill="1" applyBorder="1" applyAlignment="1" applyProtection="1">
      <alignment horizontal="center" vertical="center" wrapText="1"/>
      <protection hidden="1"/>
    </xf>
    <xf numFmtId="0" fontId="22" fillId="6" borderId="18" xfId="0" applyNumberFormat="1" applyFont="1" applyFill="1" applyBorder="1" applyAlignment="1" applyProtection="1">
      <alignment horizontal="center" vertical="center" wrapText="1"/>
      <protection hidden="1"/>
    </xf>
    <xf numFmtId="0" fontId="23" fillId="6" borderId="2" xfId="0" applyNumberFormat="1" applyFont="1" applyFill="1" applyBorder="1" applyAlignment="1" applyProtection="1">
      <alignment horizontal="center" vertical="center" wrapText="1"/>
      <protection hidden="1"/>
    </xf>
    <xf numFmtId="0" fontId="23" fillId="6" borderId="5" xfId="0" applyNumberFormat="1" applyFont="1" applyFill="1" applyBorder="1" applyAlignment="1" applyProtection="1">
      <alignment horizontal="center" vertical="center" wrapText="1"/>
      <protection hidden="1"/>
    </xf>
    <xf numFmtId="0" fontId="23" fillId="6" borderId="25" xfId="0" applyNumberFormat="1" applyFont="1" applyFill="1" applyBorder="1" applyAlignment="1" applyProtection="1">
      <alignment horizontal="center" vertical="center" wrapText="1"/>
      <protection hidden="1"/>
    </xf>
    <xf numFmtId="0" fontId="23" fillId="6" borderId="6" xfId="0" applyNumberFormat="1" applyFont="1" applyFill="1" applyBorder="1" applyAlignment="1" applyProtection="1">
      <alignment horizontal="center" vertical="center" wrapText="1"/>
      <protection hidden="1"/>
    </xf>
    <xf numFmtId="0" fontId="23" fillId="6" borderId="7" xfId="0" applyNumberFormat="1" applyFont="1" applyFill="1" applyBorder="1" applyAlignment="1" applyProtection="1">
      <alignment horizontal="center" vertical="center" wrapText="1"/>
      <protection hidden="1"/>
    </xf>
    <xf numFmtId="0" fontId="23" fillId="6" borderId="8" xfId="0" applyNumberFormat="1" applyFont="1" applyFill="1" applyBorder="1" applyAlignment="1" applyProtection="1">
      <alignment horizontal="center" vertical="center" wrapText="1"/>
      <protection hidden="1"/>
    </xf>
  </cellXfs>
  <cellStyles count="2">
    <cellStyle name="Hyperlink" xfId="1" builtinId="8"/>
    <cellStyle name="Normal" xfId="0" builtinId="0"/>
  </cellStyles>
  <dxfs count="7">
    <dxf>
      <font>
        <b/>
        <i val="0"/>
        <condense val="0"/>
        <extend val="0"/>
        <sz val="28"/>
        <color indexed="12"/>
      </font>
    </dxf>
    <dxf>
      <font>
        <b/>
        <i val="0"/>
        <condense val="0"/>
        <extend val="0"/>
        <sz val="16"/>
        <color indexed="10"/>
      </font>
    </dxf>
    <dxf>
      <font>
        <b/>
        <i val="0"/>
        <condense val="0"/>
        <extend val="0"/>
        <sz val="16"/>
        <color indexed="11"/>
      </font>
    </dxf>
    <dxf>
      <font>
        <b/>
        <i val="0"/>
        <condense val="0"/>
        <extend val="0"/>
        <sz val="16"/>
        <color indexed="10"/>
      </font>
    </dxf>
    <dxf>
      <font>
        <b/>
        <i val="0"/>
        <condense val="0"/>
        <extend val="0"/>
        <sz val="16"/>
        <color indexed="11"/>
      </font>
    </dxf>
    <dxf>
      <font>
        <b/>
        <i val="0"/>
        <condense val="0"/>
        <extend val="0"/>
        <sz val="16"/>
        <color indexed="10"/>
      </font>
    </dxf>
    <dxf>
      <font>
        <b/>
        <i val="0"/>
        <sz val="16"/>
        <color rgb="FF00FF00"/>
      </font>
    </dxf>
  </dxfs>
  <tableStyles count="0" defaultTableStyle="TableStyleMedium2" defaultPivotStyle="PivotStyleLight16"/>
  <colors>
    <mruColors>
      <color rgb="FF00FF00"/>
      <color rgb="FFEDF2F7"/>
      <color rgb="FFE4ECF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368"/>
  <sheetViews>
    <sheetView tabSelected="1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5" customHeight="1" x14ac:dyDescent="0.25"/>
  <cols>
    <col min="1" max="1" width="7.7109375" style="10" customWidth="1"/>
    <col min="2" max="2" width="26.85546875" style="10" customWidth="1"/>
    <col min="3" max="3" width="12.42578125" style="12" customWidth="1"/>
    <col min="4" max="4" width="25" style="10" customWidth="1"/>
    <col min="5" max="6" width="7.140625" style="11" customWidth="1"/>
    <col min="7" max="7" width="11.85546875" style="11" customWidth="1"/>
    <col min="8" max="10" width="13" style="11" customWidth="1"/>
    <col min="11" max="11" width="7.7109375" style="11" customWidth="1"/>
    <col min="12" max="12" width="31.140625" style="10" customWidth="1"/>
    <col min="13" max="16384" width="9.140625" style="10"/>
  </cols>
  <sheetData>
    <row r="1" spans="1:12" s="4" customFormat="1" ht="30" customHeight="1" x14ac:dyDescent="0.25">
      <c r="A1" s="1" t="s">
        <v>0</v>
      </c>
      <c r="B1" s="1" t="s">
        <v>1</v>
      </c>
      <c r="C1" s="2" t="s">
        <v>2</v>
      </c>
      <c r="D1" s="1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1" t="s">
        <v>11</v>
      </c>
    </row>
    <row r="2" spans="1:12" ht="18.600000000000001" customHeight="1" x14ac:dyDescent="0.25">
      <c r="A2" s="18"/>
      <c r="B2" s="18"/>
      <c r="C2" s="19"/>
      <c r="D2" s="20"/>
      <c r="E2" s="21"/>
      <c r="F2" s="21"/>
      <c r="G2" s="21"/>
      <c r="H2" s="22"/>
      <c r="I2" s="22"/>
      <c r="J2" s="22"/>
      <c r="K2" s="21"/>
      <c r="L2" s="18"/>
    </row>
    <row r="3" spans="1:12" ht="18.600000000000001" customHeight="1" x14ac:dyDescent="0.25">
      <c r="A3" s="18"/>
      <c r="B3" s="18"/>
      <c r="C3" s="19"/>
      <c r="D3" s="20"/>
      <c r="E3" s="21"/>
      <c r="F3" s="21"/>
      <c r="G3" s="21"/>
      <c r="H3" s="22"/>
      <c r="I3" s="22"/>
      <c r="J3" s="22"/>
      <c r="K3" s="21"/>
      <c r="L3" s="18"/>
    </row>
    <row r="4" spans="1:12" ht="18.600000000000001" customHeight="1" x14ac:dyDescent="0.25">
      <c r="A4" s="18"/>
      <c r="B4" s="18"/>
      <c r="C4" s="19"/>
      <c r="D4" s="20"/>
      <c r="E4" s="21"/>
      <c r="F4" s="21"/>
      <c r="G4" s="21"/>
      <c r="H4" s="22"/>
      <c r="I4" s="22"/>
      <c r="J4" s="22"/>
      <c r="K4" s="21"/>
      <c r="L4" s="18"/>
    </row>
    <row r="5" spans="1:12" ht="18.600000000000001" customHeight="1" x14ac:dyDescent="0.25">
      <c r="A5" s="18"/>
      <c r="B5" s="18"/>
      <c r="C5" s="19"/>
      <c r="D5" s="20"/>
      <c r="E5" s="21"/>
      <c r="F5" s="21"/>
      <c r="G5" s="21"/>
      <c r="H5" s="22"/>
      <c r="I5" s="22"/>
      <c r="J5" s="22"/>
      <c r="K5" s="21"/>
      <c r="L5" s="18"/>
    </row>
    <row r="6" spans="1:12" ht="18.600000000000001" customHeight="1" x14ac:dyDescent="0.25">
      <c r="A6" s="18"/>
      <c r="B6" s="18"/>
      <c r="C6" s="19"/>
      <c r="D6" s="20"/>
      <c r="E6" s="21"/>
      <c r="F6" s="21"/>
      <c r="G6" s="21"/>
      <c r="H6" s="22"/>
      <c r="I6" s="22"/>
      <c r="J6" s="22"/>
      <c r="K6" s="21"/>
      <c r="L6" s="18"/>
    </row>
    <row r="7" spans="1:12" ht="18.600000000000001" customHeight="1" x14ac:dyDescent="0.25">
      <c r="A7" s="18"/>
      <c r="B7" s="18"/>
      <c r="C7" s="19"/>
      <c r="D7" s="20"/>
      <c r="E7" s="21"/>
      <c r="F7" s="21"/>
      <c r="G7" s="21"/>
      <c r="H7" s="22"/>
      <c r="I7" s="22"/>
      <c r="J7" s="22"/>
      <c r="K7" s="21"/>
      <c r="L7" s="18"/>
    </row>
    <row r="8" spans="1:12" ht="18.600000000000001" customHeight="1" x14ac:dyDescent="0.25">
      <c r="A8" s="18"/>
      <c r="B8" s="18"/>
      <c r="C8" s="19"/>
      <c r="D8" s="20"/>
      <c r="E8" s="21"/>
      <c r="F8" s="21"/>
      <c r="G8" s="21"/>
      <c r="H8" s="22"/>
      <c r="I8" s="22"/>
      <c r="J8" s="22"/>
      <c r="K8" s="21"/>
      <c r="L8" s="18"/>
    </row>
    <row r="9" spans="1:12" ht="18.600000000000001" customHeight="1" x14ac:dyDescent="0.25">
      <c r="A9" s="27"/>
      <c r="B9" s="27"/>
      <c r="C9" s="28"/>
      <c r="D9" s="29"/>
      <c r="E9" s="30"/>
      <c r="F9" s="30"/>
      <c r="G9" s="30"/>
      <c r="H9" s="30"/>
      <c r="I9" s="30"/>
      <c r="J9" s="30"/>
      <c r="K9" s="30"/>
      <c r="L9" s="17"/>
    </row>
    <row r="10" spans="1:12" ht="18.600000000000001" customHeight="1" x14ac:dyDescent="0.25">
      <c r="A10" s="13"/>
      <c r="B10" s="13"/>
      <c r="C10" s="14"/>
      <c r="D10" s="15"/>
      <c r="E10" s="31"/>
      <c r="F10" s="31"/>
      <c r="G10" s="31"/>
      <c r="H10" s="31"/>
      <c r="I10" s="31"/>
      <c r="J10" s="31"/>
      <c r="K10" s="16"/>
      <c r="L10" s="17"/>
    </row>
    <row r="11" spans="1:12" ht="18.600000000000001" customHeight="1" x14ac:dyDescent="0.25">
      <c r="A11" s="13"/>
      <c r="B11" s="13"/>
      <c r="C11" s="14"/>
      <c r="D11" s="15"/>
      <c r="E11" s="31"/>
      <c r="F11" s="31"/>
      <c r="G11" s="31"/>
      <c r="H11" s="31"/>
      <c r="I11" s="31"/>
      <c r="J11" s="31"/>
      <c r="K11" s="16"/>
      <c r="L11" s="17"/>
    </row>
    <row r="12" spans="1:12" ht="18.600000000000001" customHeight="1" x14ac:dyDescent="0.25">
      <c r="A12" s="18"/>
      <c r="B12" s="18"/>
      <c r="C12" s="19"/>
      <c r="D12" s="20"/>
      <c r="E12" s="21"/>
      <c r="F12" s="21"/>
      <c r="G12" s="21"/>
      <c r="H12" s="22"/>
      <c r="I12" s="22"/>
      <c r="J12" s="22"/>
      <c r="K12" s="21"/>
      <c r="L12" s="18"/>
    </row>
    <row r="13" spans="1:12" ht="18.600000000000001" customHeight="1" x14ac:dyDescent="0.25">
      <c r="A13" s="18"/>
      <c r="B13" s="18"/>
      <c r="C13" s="19"/>
      <c r="D13" s="20"/>
      <c r="E13" s="21"/>
      <c r="F13" s="21"/>
      <c r="G13" s="21"/>
      <c r="H13" s="22"/>
      <c r="I13" s="22"/>
      <c r="J13" s="22"/>
      <c r="K13" s="21"/>
      <c r="L13" s="18"/>
    </row>
    <row r="14" spans="1:12" ht="18.600000000000001" customHeight="1" x14ac:dyDescent="0.25">
      <c r="A14" s="18"/>
      <c r="B14" s="18"/>
      <c r="C14" s="19"/>
      <c r="D14" s="20"/>
      <c r="E14" s="21"/>
      <c r="F14" s="21"/>
      <c r="G14" s="21"/>
      <c r="H14" s="22"/>
      <c r="I14" s="22"/>
      <c r="J14" s="22"/>
      <c r="K14" s="21"/>
      <c r="L14" s="18"/>
    </row>
    <row r="15" spans="1:12" ht="18.600000000000001" customHeight="1" x14ac:dyDescent="0.25">
      <c r="A15" s="18"/>
      <c r="B15" s="18"/>
      <c r="C15" s="19"/>
      <c r="D15" s="20"/>
      <c r="E15" s="21"/>
      <c r="F15" s="21"/>
      <c r="G15" s="21"/>
      <c r="H15" s="22"/>
      <c r="I15" s="22"/>
      <c r="J15" s="22"/>
      <c r="K15" s="21"/>
      <c r="L15" s="18"/>
    </row>
    <row r="16" spans="1:12" ht="18.600000000000001" customHeight="1" x14ac:dyDescent="0.25">
      <c r="A16" s="18"/>
      <c r="B16" s="18"/>
      <c r="C16" s="19"/>
      <c r="D16" s="20"/>
      <c r="E16" s="21"/>
      <c r="F16" s="21"/>
      <c r="G16" s="21"/>
      <c r="H16" s="22"/>
      <c r="I16" s="22"/>
      <c r="J16" s="22"/>
      <c r="K16" s="21"/>
      <c r="L16" s="18"/>
    </row>
    <row r="17" spans="1:12" ht="18.600000000000001" customHeight="1" x14ac:dyDescent="0.25">
      <c r="A17" s="18"/>
      <c r="B17" s="18"/>
      <c r="C17" s="19"/>
      <c r="D17" s="20"/>
      <c r="E17" s="21"/>
      <c r="F17" s="21"/>
      <c r="G17" s="21"/>
      <c r="H17" s="22"/>
      <c r="I17" s="22"/>
      <c r="J17" s="22"/>
      <c r="K17" s="21"/>
      <c r="L17" s="18"/>
    </row>
    <row r="18" spans="1:12" ht="18.600000000000001" customHeight="1" x14ac:dyDescent="0.25">
      <c r="A18" s="27"/>
      <c r="B18" s="27"/>
      <c r="C18" s="28"/>
      <c r="D18" s="29"/>
      <c r="E18" s="30"/>
      <c r="F18" s="30"/>
      <c r="G18" s="30"/>
      <c r="H18" s="30"/>
      <c r="I18" s="30"/>
      <c r="J18" s="30"/>
      <c r="K18" s="30"/>
      <c r="L18" s="17"/>
    </row>
    <row r="19" spans="1:12" ht="18.600000000000001" customHeight="1" x14ac:dyDescent="0.25">
      <c r="A19" s="18"/>
      <c r="B19" s="18"/>
      <c r="C19" s="19"/>
      <c r="D19" s="20"/>
      <c r="E19" s="21"/>
      <c r="F19" s="21"/>
      <c r="G19" s="21"/>
      <c r="H19" s="22"/>
      <c r="I19" s="22"/>
      <c r="J19" s="22"/>
      <c r="K19" s="21"/>
      <c r="L19" s="18"/>
    </row>
    <row r="20" spans="1:12" ht="18.600000000000001" customHeight="1" x14ac:dyDescent="0.25">
      <c r="A20" s="18"/>
      <c r="B20" s="18"/>
      <c r="C20" s="19"/>
      <c r="D20" s="20"/>
      <c r="E20" s="21"/>
      <c r="F20" s="21"/>
      <c r="G20" s="21"/>
      <c r="H20" s="22"/>
      <c r="I20" s="22"/>
      <c r="J20" s="22"/>
      <c r="K20" s="21"/>
      <c r="L20" s="18"/>
    </row>
    <row r="21" spans="1:12" ht="18.600000000000001" customHeight="1" x14ac:dyDescent="0.25">
      <c r="A21" s="18"/>
      <c r="B21" s="18"/>
      <c r="C21" s="19"/>
      <c r="D21" s="20"/>
      <c r="E21" s="21"/>
      <c r="F21" s="21"/>
      <c r="G21" s="21"/>
      <c r="H21" s="22"/>
      <c r="I21" s="22"/>
      <c r="J21" s="22"/>
      <c r="K21" s="21"/>
      <c r="L21" s="18"/>
    </row>
    <row r="22" spans="1:12" ht="18.600000000000001" customHeight="1" x14ac:dyDescent="0.25">
      <c r="A22" s="18"/>
      <c r="B22" s="18"/>
      <c r="C22" s="19"/>
      <c r="D22" s="20"/>
      <c r="E22" s="21"/>
      <c r="F22" s="21"/>
      <c r="G22" s="21"/>
      <c r="H22" s="22"/>
      <c r="I22" s="22"/>
      <c r="J22" s="22"/>
      <c r="K22" s="21"/>
      <c r="L22" s="18"/>
    </row>
    <row r="23" spans="1:12" ht="18.600000000000001" customHeight="1" x14ac:dyDescent="0.25">
      <c r="A23" s="18"/>
      <c r="B23" s="18"/>
      <c r="C23" s="19"/>
      <c r="D23" s="20"/>
      <c r="E23" s="21"/>
      <c r="F23" s="21"/>
      <c r="G23" s="21"/>
      <c r="H23" s="22"/>
      <c r="I23" s="22"/>
      <c r="J23" s="22"/>
      <c r="K23" s="21"/>
      <c r="L23" s="18"/>
    </row>
    <row r="24" spans="1:12" ht="18.600000000000001" customHeight="1" x14ac:dyDescent="0.25">
      <c r="A24" s="18"/>
      <c r="B24" s="18"/>
      <c r="C24" s="19"/>
      <c r="D24" s="20"/>
      <c r="E24" s="21"/>
      <c r="F24" s="21"/>
      <c r="G24" s="21"/>
      <c r="H24" s="22"/>
      <c r="I24" s="22"/>
      <c r="J24" s="22"/>
      <c r="K24" s="21"/>
      <c r="L24" s="18"/>
    </row>
    <row r="25" spans="1:12" ht="18.600000000000001" customHeight="1" x14ac:dyDescent="0.25">
      <c r="A25" s="18"/>
      <c r="B25" s="18"/>
      <c r="C25" s="19"/>
      <c r="D25" s="20"/>
      <c r="E25" s="21"/>
      <c r="F25" s="21"/>
      <c r="G25" s="21"/>
      <c r="H25" s="22"/>
      <c r="I25" s="22"/>
      <c r="J25" s="22"/>
      <c r="K25" s="21"/>
      <c r="L25" s="18"/>
    </row>
    <row r="26" spans="1:12" ht="18.600000000000001" customHeight="1" x14ac:dyDescent="0.25">
      <c r="A26" s="18"/>
      <c r="B26" s="18"/>
      <c r="C26" s="19"/>
      <c r="D26" s="20"/>
      <c r="E26" s="21"/>
      <c r="F26" s="21"/>
      <c r="G26" s="21"/>
      <c r="H26" s="22"/>
      <c r="I26" s="22"/>
      <c r="J26" s="22"/>
      <c r="K26" s="21"/>
      <c r="L26" s="18"/>
    </row>
    <row r="27" spans="1:12" ht="18.600000000000001" customHeight="1" x14ac:dyDescent="0.25">
      <c r="A27" s="18"/>
      <c r="B27" s="18"/>
      <c r="C27" s="19"/>
      <c r="D27" s="20"/>
      <c r="E27" s="21"/>
      <c r="F27" s="21"/>
      <c r="G27" s="21"/>
      <c r="H27" s="22"/>
      <c r="I27" s="22"/>
      <c r="J27" s="22"/>
      <c r="K27" s="21"/>
      <c r="L27" s="18"/>
    </row>
    <row r="28" spans="1:12" ht="18.600000000000001" customHeight="1" x14ac:dyDescent="0.25">
      <c r="A28" s="18"/>
      <c r="B28" s="18"/>
      <c r="C28" s="19"/>
      <c r="D28" s="20"/>
      <c r="E28" s="21"/>
      <c r="F28" s="21"/>
      <c r="G28" s="21"/>
      <c r="H28" s="22"/>
      <c r="I28" s="22"/>
      <c r="J28" s="22"/>
      <c r="K28" s="21"/>
      <c r="L28" s="18"/>
    </row>
    <row r="29" spans="1:12" ht="18.600000000000001" customHeight="1" x14ac:dyDescent="0.25">
      <c r="A29" s="18"/>
      <c r="B29" s="18"/>
      <c r="C29" s="19"/>
      <c r="D29" s="20"/>
      <c r="E29" s="21"/>
      <c r="F29" s="21"/>
      <c r="G29" s="21"/>
      <c r="H29" s="22"/>
      <c r="I29" s="22"/>
      <c r="J29" s="22"/>
      <c r="K29" s="21"/>
      <c r="L29" s="18"/>
    </row>
    <row r="30" spans="1:12" ht="18.600000000000001" customHeight="1" x14ac:dyDescent="0.25">
      <c r="A30" s="18"/>
      <c r="B30" s="18"/>
      <c r="C30" s="19"/>
      <c r="D30" s="20"/>
      <c r="E30" s="21"/>
      <c r="F30" s="21"/>
      <c r="G30" s="21"/>
      <c r="H30" s="22"/>
      <c r="I30" s="22"/>
      <c r="J30" s="22"/>
      <c r="K30" s="21"/>
      <c r="L30" s="18"/>
    </row>
    <row r="31" spans="1:12" ht="18.600000000000001" customHeight="1" x14ac:dyDescent="0.25">
      <c r="A31" s="18"/>
      <c r="B31" s="18"/>
      <c r="C31" s="19"/>
      <c r="D31" s="20"/>
      <c r="E31" s="21"/>
      <c r="F31" s="21"/>
      <c r="G31" s="21"/>
      <c r="H31" s="22"/>
      <c r="I31" s="22"/>
      <c r="J31" s="22"/>
      <c r="K31" s="21"/>
      <c r="L31" s="18"/>
    </row>
    <row r="32" spans="1:12" ht="18.600000000000001" customHeight="1" x14ac:dyDescent="0.25">
      <c r="A32" s="18"/>
      <c r="B32" s="18"/>
      <c r="C32" s="19"/>
      <c r="D32" s="20"/>
      <c r="E32" s="21"/>
      <c r="F32" s="21"/>
      <c r="G32" s="21"/>
      <c r="H32" s="22"/>
      <c r="I32" s="22"/>
      <c r="J32" s="22"/>
      <c r="K32" s="21"/>
      <c r="L32" s="18"/>
    </row>
    <row r="33" spans="1:12" ht="18.600000000000001" customHeight="1" x14ac:dyDescent="0.25">
      <c r="A33" s="18"/>
      <c r="B33" s="18"/>
      <c r="C33" s="19"/>
      <c r="D33" s="20"/>
      <c r="E33" s="21"/>
      <c r="F33" s="21"/>
      <c r="G33" s="21"/>
      <c r="H33" s="22"/>
      <c r="I33" s="22"/>
      <c r="J33" s="22"/>
      <c r="K33" s="21"/>
      <c r="L33" s="18"/>
    </row>
    <row r="34" spans="1:12" ht="18.600000000000001" customHeight="1" x14ac:dyDescent="0.25">
      <c r="A34" s="18"/>
      <c r="B34" s="18"/>
      <c r="C34" s="19"/>
      <c r="D34" s="20"/>
      <c r="E34" s="21"/>
      <c r="F34" s="21"/>
      <c r="G34" s="21"/>
      <c r="H34" s="22"/>
      <c r="I34" s="22"/>
      <c r="J34" s="22"/>
      <c r="K34" s="21"/>
      <c r="L34" s="18"/>
    </row>
    <row r="35" spans="1:12" ht="18.600000000000001" customHeight="1" x14ac:dyDescent="0.25">
      <c r="A35" s="13"/>
      <c r="B35" s="13"/>
      <c r="C35" s="14"/>
      <c r="D35" s="15"/>
      <c r="E35" s="31"/>
      <c r="F35" s="31"/>
      <c r="G35" s="31"/>
      <c r="H35" s="31"/>
      <c r="I35" s="31"/>
      <c r="J35" s="31"/>
      <c r="K35" s="16"/>
      <c r="L35" s="17"/>
    </row>
    <row r="36" spans="1:12" ht="18.600000000000001" customHeight="1" x14ac:dyDescent="0.25">
      <c r="A36" s="18"/>
      <c r="B36" s="18"/>
      <c r="C36" s="19"/>
      <c r="D36" s="20"/>
      <c r="E36" s="21"/>
      <c r="F36" s="21"/>
      <c r="G36" s="21"/>
      <c r="H36" s="22"/>
      <c r="I36" s="22"/>
      <c r="J36" s="22"/>
      <c r="K36" s="21"/>
      <c r="L36" s="18"/>
    </row>
    <row r="37" spans="1:12" ht="18.600000000000001" customHeight="1" x14ac:dyDescent="0.25">
      <c r="A37" s="18"/>
      <c r="B37" s="18"/>
      <c r="C37" s="19"/>
      <c r="D37" s="20"/>
      <c r="E37" s="21"/>
      <c r="F37" s="21"/>
      <c r="G37" s="21"/>
      <c r="H37" s="22"/>
      <c r="I37" s="22"/>
      <c r="J37" s="22"/>
      <c r="K37" s="21"/>
      <c r="L37" s="18"/>
    </row>
    <row r="38" spans="1:12" ht="18.600000000000001" customHeight="1" x14ac:dyDescent="0.25">
      <c r="A38" s="18"/>
      <c r="B38" s="18"/>
      <c r="C38" s="19"/>
      <c r="D38" s="20"/>
      <c r="E38" s="21"/>
      <c r="F38" s="21"/>
      <c r="G38" s="21"/>
      <c r="H38" s="22"/>
      <c r="I38" s="22"/>
      <c r="J38" s="22"/>
      <c r="K38" s="21"/>
      <c r="L38" s="18"/>
    </row>
    <row r="39" spans="1:12" ht="18.600000000000001" customHeight="1" x14ac:dyDescent="0.25">
      <c r="A39" s="18"/>
      <c r="B39" s="18"/>
      <c r="C39" s="19"/>
      <c r="D39" s="20"/>
      <c r="E39" s="21"/>
      <c r="F39" s="21"/>
      <c r="G39" s="21"/>
      <c r="H39" s="22"/>
      <c r="I39" s="22"/>
      <c r="J39" s="22"/>
      <c r="K39" s="21"/>
      <c r="L39" s="18"/>
    </row>
    <row r="40" spans="1:12" ht="18.600000000000001" customHeight="1" x14ac:dyDescent="0.25">
      <c r="A40" s="18"/>
      <c r="B40" s="18"/>
      <c r="C40" s="19"/>
      <c r="D40" s="20"/>
      <c r="E40" s="21"/>
      <c r="F40" s="21"/>
      <c r="G40" s="21"/>
      <c r="H40" s="22"/>
      <c r="I40" s="22"/>
      <c r="J40" s="22"/>
      <c r="K40" s="21"/>
      <c r="L40" s="18"/>
    </row>
    <row r="41" spans="1:12" ht="18.600000000000001" customHeight="1" x14ac:dyDescent="0.25">
      <c r="A41" s="18"/>
      <c r="B41" s="18"/>
      <c r="C41" s="19"/>
      <c r="D41" s="20"/>
      <c r="E41" s="21"/>
      <c r="F41" s="21"/>
      <c r="G41" s="21"/>
      <c r="H41" s="22"/>
      <c r="I41" s="22"/>
      <c r="J41" s="22"/>
      <c r="K41" s="21"/>
      <c r="L41" s="18"/>
    </row>
    <row r="42" spans="1:12" ht="18.600000000000001" customHeight="1" x14ac:dyDescent="0.25">
      <c r="A42" s="18"/>
      <c r="B42" s="18"/>
      <c r="C42" s="19"/>
      <c r="D42" s="20"/>
      <c r="E42" s="21"/>
      <c r="F42" s="21"/>
      <c r="G42" s="21"/>
      <c r="H42" s="22"/>
      <c r="I42" s="22"/>
      <c r="J42" s="22"/>
      <c r="K42" s="21"/>
      <c r="L42" s="18"/>
    </row>
    <row r="43" spans="1:12" ht="18.600000000000001" customHeight="1" x14ac:dyDescent="0.25">
      <c r="A43" s="18"/>
      <c r="B43" s="18"/>
      <c r="C43" s="19"/>
      <c r="D43" s="20"/>
      <c r="E43" s="21"/>
      <c r="F43" s="21"/>
      <c r="G43" s="21"/>
      <c r="H43" s="22"/>
      <c r="I43" s="22"/>
      <c r="J43" s="22"/>
      <c r="K43" s="21"/>
      <c r="L43" s="18"/>
    </row>
    <row r="44" spans="1:12" ht="18.600000000000001" customHeight="1" x14ac:dyDescent="0.25">
      <c r="A44" s="18"/>
      <c r="B44" s="18"/>
      <c r="C44" s="19"/>
      <c r="D44" s="20"/>
      <c r="E44" s="21"/>
      <c r="F44" s="21"/>
      <c r="G44" s="21"/>
      <c r="H44" s="22"/>
      <c r="I44" s="22"/>
      <c r="J44" s="22"/>
      <c r="K44" s="21"/>
      <c r="L44" s="18"/>
    </row>
    <row r="45" spans="1:12" ht="18.600000000000001" customHeight="1" x14ac:dyDescent="0.25">
      <c r="A45" s="18"/>
      <c r="B45" s="18"/>
      <c r="C45" s="19"/>
      <c r="D45" s="20"/>
      <c r="E45" s="21"/>
      <c r="F45" s="21"/>
      <c r="G45" s="21"/>
      <c r="H45" s="22"/>
      <c r="I45" s="22"/>
      <c r="J45" s="22"/>
      <c r="K45" s="21"/>
      <c r="L45" s="18"/>
    </row>
    <row r="46" spans="1:12" ht="18.600000000000001" customHeight="1" x14ac:dyDescent="0.25">
      <c r="A46" s="18"/>
      <c r="B46" s="18"/>
      <c r="C46" s="19"/>
      <c r="D46" s="20"/>
      <c r="E46" s="21"/>
      <c r="F46" s="21"/>
      <c r="G46" s="21"/>
      <c r="H46" s="22"/>
      <c r="I46" s="22"/>
      <c r="J46" s="22"/>
      <c r="K46" s="21"/>
      <c r="L46" s="18"/>
    </row>
    <row r="47" spans="1:12" ht="18.600000000000001" customHeight="1" x14ac:dyDescent="0.25">
      <c r="A47" s="18"/>
      <c r="B47" s="18"/>
      <c r="C47" s="19"/>
      <c r="D47" s="20"/>
      <c r="E47" s="21"/>
      <c r="F47" s="21"/>
      <c r="G47" s="21"/>
      <c r="H47" s="22"/>
      <c r="I47" s="22"/>
      <c r="J47" s="22"/>
      <c r="K47" s="21"/>
      <c r="L47" s="18"/>
    </row>
    <row r="48" spans="1:12" ht="18.600000000000001" customHeight="1" x14ac:dyDescent="0.25">
      <c r="A48" s="18"/>
      <c r="B48" s="18"/>
      <c r="C48" s="19"/>
      <c r="D48" s="20"/>
      <c r="E48" s="21"/>
      <c r="F48" s="21"/>
      <c r="G48" s="21"/>
      <c r="H48" s="22"/>
      <c r="I48" s="22"/>
      <c r="J48" s="22"/>
      <c r="K48" s="21"/>
      <c r="L48" s="18"/>
    </row>
    <row r="49" spans="1:12" ht="18.600000000000001" customHeight="1" x14ac:dyDescent="0.25">
      <c r="A49" s="18"/>
      <c r="B49" s="18"/>
      <c r="C49" s="19"/>
      <c r="D49" s="20"/>
      <c r="E49" s="21"/>
      <c r="F49" s="21"/>
      <c r="G49" s="21"/>
      <c r="H49" s="22"/>
      <c r="I49" s="22"/>
      <c r="J49" s="22"/>
      <c r="K49" s="21"/>
      <c r="L49" s="18"/>
    </row>
    <row r="50" spans="1:12" ht="18.600000000000001" customHeight="1" x14ac:dyDescent="0.25">
      <c r="A50" s="13"/>
      <c r="B50" s="13"/>
      <c r="C50" s="14"/>
      <c r="D50" s="15"/>
      <c r="E50" s="31"/>
      <c r="F50" s="31"/>
      <c r="G50" s="31"/>
      <c r="H50" s="31"/>
      <c r="I50" s="31"/>
      <c r="J50" s="31"/>
      <c r="K50" s="16"/>
      <c r="L50" s="17"/>
    </row>
    <row r="51" spans="1:12" ht="18.600000000000001" customHeight="1" x14ac:dyDescent="0.25">
      <c r="A51" s="13"/>
      <c r="B51" s="13"/>
      <c r="C51" s="14"/>
      <c r="D51" s="15"/>
      <c r="E51" s="31"/>
      <c r="F51" s="31"/>
      <c r="G51" s="31"/>
      <c r="H51" s="31"/>
      <c r="I51" s="31"/>
      <c r="J51" s="31"/>
      <c r="K51" s="16"/>
      <c r="L51" s="17"/>
    </row>
    <row r="52" spans="1:12" ht="18.600000000000001" customHeight="1" x14ac:dyDescent="0.25">
      <c r="A52" s="18"/>
      <c r="B52" s="18"/>
      <c r="C52" s="19"/>
      <c r="D52" s="20"/>
      <c r="E52" s="21"/>
      <c r="F52" s="21"/>
      <c r="G52" s="21"/>
      <c r="H52" s="22"/>
      <c r="I52" s="22"/>
      <c r="J52" s="22"/>
      <c r="K52" s="21"/>
      <c r="L52" s="18"/>
    </row>
    <row r="53" spans="1:12" ht="18.600000000000001" customHeight="1" x14ac:dyDescent="0.25">
      <c r="A53" s="18"/>
      <c r="B53" s="18"/>
      <c r="C53" s="19"/>
      <c r="D53" s="20"/>
      <c r="E53" s="21"/>
      <c r="F53" s="21"/>
      <c r="G53" s="21"/>
      <c r="H53" s="22"/>
      <c r="I53" s="22"/>
      <c r="J53" s="22"/>
      <c r="K53" s="21"/>
      <c r="L53" s="18"/>
    </row>
    <row r="54" spans="1:12" ht="18.600000000000001" customHeight="1" x14ac:dyDescent="0.25">
      <c r="A54" s="18"/>
      <c r="B54" s="18"/>
      <c r="C54" s="19"/>
      <c r="D54" s="20"/>
      <c r="E54" s="21"/>
      <c r="F54" s="21"/>
      <c r="G54" s="21"/>
      <c r="H54" s="22"/>
      <c r="I54" s="22"/>
      <c r="J54" s="22"/>
      <c r="K54" s="21"/>
      <c r="L54" s="18"/>
    </row>
    <row r="55" spans="1:12" ht="18.600000000000001" customHeight="1" x14ac:dyDescent="0.25">
      <c r="A55" s="18"/>
      <c r="B55" s="18"/>
      <c r="C55" s="19"/>
      <c r="D55" s="20"/>
      <c r="E55" s="21"/>
      <c r="F55" s="21"/>
      <c r="G55" s="21"/>
      <c r="H55" s="22"/>
      <c r="I55" s="22"/>
      <c r="J55" s="22"/>
      <c r="K55" s="21"/>
      <c r="L55" s="18"/>
    </row>
    <row r="56" spans="1:12" ht="18.600000000000001" customHeight="1" x14ac:dyDescent="0.25">
      <c r="A56" s="18"/>
      <c r="B56" s="18"/>
      <c r="C56" s="19"/>
      <c r="D56" s="20"/>
      <c r="E56" s="21"/>
      <c r="F56" s="21"/>
      <c r="G56" s="21"/>
      <c r="H56" s="22"/>
      <c r="I56" s="22"/>
      <c r="J56" s="22"/>
      <c r="K56" s="21"/>
      <c r="L56" s="18"/>
    </row>
    <row r="57" spans="1:12" ht="18.600000000000001" customHeight="1" x14ac:dyDescent="0.25">
      <c r="A57" s="18"/>
      <c r="B57" s="18"/>
      <c r="C57" s="19"/>
      <c r="D57" s="20"/>
      <c r="E57" s="21"/>
      <c r="F57" s="21"/>
      <c r="G57" s="21"/>
      <c r="H57" s="22"/>
      <c r="I57" s="22"/>
      <c r="J57" s="22"/>
      <c r="K57" s="21"/>
      <c r="L57" s="18"/>
    </row>
    <row r="58" spans="1:12" ht="18.600000000000001" customHeight="1" x14ac:dyDescent="0.25">
      <c r="A58" s="18"/>
      <c r="B58" s="18"/>
      <c r="C58" s="19"/>
      <c r="D58" s="20"/>
      <c r="E58" s="21"/>
      <c r="F58" s="21"/>
      <c r="G58" s="21"/>
      <c r="H58" s="22"/>
      <c r="I58" s="22"/>
      <c r="J58" s="22"/>
      <c r="K58" s="21"/>
      <c r="L58" s="18"/>
    </row>
    <row r="59" spans="1:12" ht="18.600000000000001" customHeight="1" x14ac:dyDescent="0.25">
      <c r="A59" s="18"/>
      <c r="B59" s="18"/>
      <c r="C59" s="19"/>
      <c r="D59" s="20"/>
      <c r="E59" s="21"/>
      <c r="F59" s="21"/>
      <c r="G59" s="21"/>
      <c r="H59" s="22"/>
      <c r="I59" s="22"/>
      <c r="J59" s="22"/>
      <c r="K59" s="21"/>
      <c r="L59" s="18"/>
    </row>
    <row r="60" spans="1:12" ht="18.600000000000001" customHeight="1" x14ac:dyDescent="0.25">
      <c r="A60" s="18"/>
      <c r="B60" s="18"/>
      <c r="C60" s="19"/>
      <c r="D60" s="20"/>
      <c r="E60" s="21"/>
      <c r="F60" s="21"/>
      <c r="G60" s="21"/>
      <c r="H60" s="22"/>
      <c r="I60" s="22"/>
      <c r="J60" s="22"/>
      <c r="K60" s="21"/>
      <c r="L60" s="18"/>
    </row>
    <row r="61" spans="1:12" ht="18.600000000000001" customHeight="1" x14ac:dyDescent="0.25">
      <c r="A61" s="18"/>
      <c r="B61" s="18"/>
      <c r="C61" s="19"/>
      <c r="D61" s="20"/>
      <c r="E61" s="21"/>
      <c r="F61" s="21"/>
      <c r="G61" s="21"/>
      <c r="H61" s="22"/>
      <c r="I61" s="22"/>
      <c r="J61" s="22"/>
      <c r="K61" s="21"/>
      <c r="L61" s="18"/>
    </row>
    <row r="62" spans="1:12" ht="18.600000000000001" customHeight="1" x14ac:dyDescent="0.25">
      <c r="A62" s="18"/>
      <c r="B62" s="18"/>
      <c r="C62" s="19"/>
      <c r="D62" s="20"/>
      <c r="E62" s="21"/>
      <c r="F62" s="21"/>
      <c r="G62" s="21"/>
      <c r="H62" s="22"/>
      <c r="I62" s="22"/>
      <c r="J62" s="22"/>
      <c r="K62" s="21"/>
      <c r="L62" s="18"/>
    </row>
    <row r="63" spans="1:12" ht="18.600000000000001" customHeight="1" x14ac:dyDescent="0.25">
      <c r="A63" s="18"/>
      <c r="B63" s="18"/>
      <c r="C63" s="19"/>
      <c r="D63" s="20"/>
      <c r="E63" s="21"/>
      <c r="F63" s="21"/>
      <c r="G63" s="21"/>
      <c r="H63" s="22"/>
      <c r="I63" s="22"/>
      <c r="J63" s="22"/>
      <c r="K63" s="21"/>
      <c r="L63" s="18"/>
    </row>
    <row r="64" spans="1:12" ht="18.600000000000001" customHeight="1" x14ac:dyDescent="0.25">
      <c r="A64" s="18"/>
      <c r="B64" s="18"/>
      <c r="C64" s="19"/>
      <c r="D64" s="20"/>
      <c r="E64" s="21"/>
      <c r="F64" s="21"/>
      <c r="G64" s="21"/>
      <c r="H64" s="22"/>
      <c r="I64" s="22"/>
      <c r="J64" s="22"/>
      <c r="K64" s="21"/>
      <c r="L64" s="18"/>
    </row>
    <row r="65" spans="1:12" ht="18.600000000000001" customHeight="1" x14ac:dyDescent="0.25">
      <c r="A65" s="18"/>
      <c r="B65" s="18"/>
      <c r="C65" s="19"/>
      <c r="D65" s="20"/>
      <c r="E65" s="21"/>
      <c r="F65" s="21"/>
      <c r="G65" s="21"/>
      <c r="H65" s="22"/>
      <c r="I65" s="22"/>
      <c r="J65" s="22"/>
      <c r="K65" s="21"/>
      <c r="L65" s="18"/>
    </row>
    <row r="66" spans="1:12" ht="18.600000000000001" customHeight="1" x14ac:dyDescent="0.25">
      <c r="A66" s="18"/>
      <c r="B66" s="18"/>
      <c r="C66" s="19"/>
      <c r="D66" s="20"/>
      <c r="E66" s="21"/>
      <c r="F66" s="21"/>
      <c r="G66" s="21"/>
      <c r="H66" s="22"/>
      <c r="I66" s="22"/>
      <c r="J66" s="22"/>
      <c r="K66" s="21"/>
      <c r="L66" s="18"/>
    </row>
    <row r="67" spans="1:12" ht="18.600000000000001" customHeight="1" x14ac:dyDescent="0.25">
      <c r="A67" s="18"/>
      <c r="B67" s="18"/>
      <c r="C67" s="19"/>
      <c r="D67" s="20"/>
      <c r="E67" s="21"/>
      <c r="F67" s="21"/>
      <c r="G67" s="21"/>
      <c r="H67" s="22"/>
      <c r="I67" s="22"/>
      <c r="J67" s="22"/>
      <c r="K67" s="21"/>
      <c r="L67" s="18"/>
    </row>
    <row r="68" spans="1:12" ht="18.600000000000001" customHeight="1" x14ac:dyDescent="0.25">
      <c r="A68" s="18"/>
      <c r="B68" s="18"/>
      <c r="C68" s="19"/>
      <c r="D68" s="20"/>
      <c r="E68" s="21"/>
      <c r="F68" s="21"/>
      <c r="G68" s="21"/>
      <c r="H68" s="22"/>
      <c r="I68" s="22"/>
      <c r="J68" s="22"/>
      <c r="K68" s="21"/>
      <c r="L68" s="18"/>
    </row>
    <row r="69" spans="1:12" ht="18.600000000000001" customHeight="1" x14ac:dyDescent="0.25">
      <c r="A69" s="18"/>
      <c r="B69" s="18"/>
      <c r="C69" s="19"/>
      <c r="D69" s="20"/>
      <c r="E69" s="21"/>
      <c r="F69" s="21"/>
      <c r="G69" s="21"/>
      <c r="H69" s="22"/>
      <c r="I69" s="22"/>
      <c r="J69" s="22"/>
      <c r="K69" s="21"/>
      <c r="L69" s="18"/>
    </row>
    <row r="70" spans="1:12" ht="18.600000000000001" customHeight="1" x14ac:dyDescent="0.25">
      <c r="A70" s="18"/>
      <c r="B70" s="18"/>
      <c r="C70" s="19"/>
      <c r="D70" s="20"/>
      <c r="E70" s="21"/>
      <c r="F70" s="21"/>
      <c r="G70" s="21"/>
      <c r="H70" s="22"/>
      <c r="I70" s="22"/>
      <c r="J70" s="22"/>
      <c r="K70" s="21"/>
      <c r="L70" s="18"/>
    </row>
    <row r="71" spans="1:12" ht="18.600000000000001" customHeight="1" x14ac:dyDescent="0.25">
      <c r="A71" s="18"/>
      <c r="B71" s="18"/>
      <c r="C71" s="19"/>
      <c r="D71" s="20"/>
      <c r="E71" s="21"/>
      <c r="F71" s="21"/>
      <c r="G71" s="21"/>
      <c r="H71" s="22"/>
      <c r="I71" s="22"/>
      <c r="J71" s="22"/>
      <c r="K71" s="21"/>
      <c r="L71" s="18"/>
    </row>
    <row r="72" spans="1:12" ht="18.600000000000001" customHeight="1" x14ac:dyDescent="0.25">
      <c r="A72" s="32"/>
      <c r="B72" s="32"/>
      <c r="C72" s="33"/>
      <c r="D72" s="34"/>
      <c r="E72" s="35"/>
      <c r="F72" s="35"/>
      <c r="G72" s="35"/>
      <c r="H72" s="35"/>
      <c r="I72" s="35"/>
      <c r="J72" s="35"/>
      <c r="K72" s="35"/>
      <c r="L72" s="17"/>
    </row>
    <row r="73" spans="1:12" ht="18.600000000000001" customHeight="1" x14ac:dyDescent="0.25">
      <c r="A73" s="18"/>
      <c r="B73" s="18"/>
      <c r="C73" s="19"/>
      <c r="D73" s="20"/>
      <c r="E73" s="21"/>
      <c r="F73" s="21"/>
      <c r="G73" s="21"/>
      <c r="H73" s="22"/>
      <c r="I73" s="22"/>
      <c r="J73" s="22"/>
      <c r="K73" s="21"/>
      <c r="L73" s="18"/>
    </row>
    <row r="74" spans="1:12" ht="18.600000000000001" customHeight="1" x14ac:dyDescent="0.25">
      <c r="A74" s="5"/>
      <c r="B74" s="5"/>
      <c r="C74" s="6"/>
      <c r="D74" s="7"/>
      <c r="E74" s="8"/>
      <c r="F74" s="8"/>
      <c r="G74" s="8"/>
      <c r="H74" s="9"/>
      <c r="I74" s="9"/>
      <c r="J74" s="9"/>
      <c r="K74" s="8"/>
      <c r="L74" s="5"/>
    </row>
    <row r="75" spans="1:12" ht="18.600000000000001" customHeight="1" x14ac:dyDescent="0.25">
      <c r="A75" s="5"/>
      <c r="B75" s="5"/>
      <c r="C75" s="6"/>
      <c r="D75" s="7"/>
      <c r="E75" s="8"/>
      <c r="F75" s="8"/>
      <c r="G75" s="8"/>
      <c r="H75" s="9"/>
      <c r="I75" s="9"/>
      <c r="J75" s="9"/>
      <c r="K75" s="8"/>
      <c r="L75" s="5"/>
    </row>
    <row r="76" spans="1:12" ht="18.600000000000001" customHeight="1" x14ac:dyDescent="0.25">
      <c r="A76" s="5"/>
      <c r="B76" s="5"/>
      <c r="C76" s="6"/>
      <c r="D76" s="7"/>
      <c r="E76" s="8"/>
      <c r="F76" s="8"/>
      <c r="G76" s="8"/>
      <c r="H76" s="9"/>
      <c r="I76" s="9"/>
      <c r="J76" s="9"/>
      <c r="K76" s="8"/>
      <c r="L76" s="5"/>
    </row>
    <row r="77" spans="1:12" ht="18.600000000000001" customHeight="1" x14ac:dyDescent="0.25">
      <c r="A77" s="5"/>
      <c r="B77" s="5"/>
      <c r="C77" s="6"/>
      <c r="D77" s="7"/>
      <c r="E77" s="8"/>
      <c r="F77" s="8"/>
      <c r="G77" s="8"/>
      <c r="H77" s="9"/>
      <c r="I77" s="9"/>
      <c r="J77" s="9"/>
      <c r="K77" s="8"/>
      <c r="L77" s="5"/>
    </row>
    <row r="78" spans="1:12" ht="18.600000000000001" customHeight="1" x14ac:dyDescent="0.25">
      <c r="A78" s="5"/>
      <c r="B78" s="5"/>
      <c r="C78" s="6"/>
      <c r="D78" s="7"/>
      <c r="E78" s="8"/>
      <c r="F78" s="8"/>
      <c r="G78" s="8"/>
      <c r="H78" s="9"/>
      <c r="I78" s="9"/>
      <c r="J78" s="9"/>
      <c r="K78" s="8"/>
      <c r="L78" s="5"/>
    </row>
    <row r="79" spans="1:12" ht="18.600000000000001" customHeight="1" x14ac:dyDescent="0.25">
      <c r="A79" s="5"/>
      <c r="B79" s="5"/>
      <c r="C79" s="6"/>
      <c r="D79" s="7"/>
      <c r="E79" s="8"/>
      <c r="F79" s="8"/>
      <c r="G79" s="8"/>
      <c r="H79" s="9"/>
      <c r="I79" s="9"/>
      <c r="J79" s="9"/>
      <c r="K79" s="8"/>
      <c r="L79" s="5"/>
    </row>
    <row r="80" spans="1:12" ht="18.600000000000001" customHeight="1" x14ac:dyDescent="0.25">
      <c r="A80" s="5"/>
      <c r="B80" s="5"/>
      <c r="C80" s="6"/>
      <c r="D80" s="7"/>
      <c r="E80" s="8"/>
      <c r="F80" s="8"/>
      <c r="G80" s="8"/>
      <c r="H80" s="9"/>
      <c r="I80" s="9"/>
      <c r="J80" s="9"/>
      <c r="K80" s="8"/>
      <c r="L80" s="5"/>
    </row>
    <row r="81" spans="1:12" ht="18.600000000000001" customHeight="1" x14ac:dyDescent="0.25">
      <c r="A81" s="5"/>
      <c r="B81" s="5"/>
      <c r="C81" s="6"/>
      <c r="D81" s="7"/>
      <c r="E81" s="8"/>
      <c r="F81" s="8"/>
      <c r="G81" s="8"/>
      <c r="H81" s="9"/>
      <c r="I81" s="9"/>
      <c r="J81" s="9"/>
      <c r="K81" s="8"/>
      <c r="L81" s="5"/>
    </row>
    <row r="82" spans="1:12" ht="18.600000000000001" customHeight="1" x14ac:dyDescent="0.25">
      <c r="A82" s="5"/>
      <c r="B82" s="5"/>
      <c r="C82" s="6"/>
      <c r="D82" s="7"/>
      <c r="E82" s="8"/>
      <c r="F82" s="8"/>
      <c r="G82" s="8"/>
      <c r="H82" s="9"/>
      <c r="I82" s="9"/>
      <c r="J82" s="9"/>
      <c r="K82" s="8"/>
      <c r="L82" s="5"/>
    </row>
    <row r="83" spans="1:12" ht="18.600000000000001" customHeight="1" x14ac:dyDescent="0.25">
      <c r="A83" s="5"/>
      <c r="B83" s="5"/>
      <c r="C83" s="6"/>
      <c r="D83" s="7"/>
      <c r="E83" s="8"/>
      <c r="F83" s="8"/>
      <c r="G83" s="8"/>
      <c r="H83" s="9"/>
      <c r="I83" s="9"/>
      <c r="J83" s="9"/>
      <c r="K83" s="8"/>
      <c r="L83" s="5"/>
    </row>
    <row r="84" spans="1:12" ht="18.600000000000001" customHeight="1" x14ac:dyDescent="0.25">
      <c r="A84" s="5"/>
      <c r="B84" s="5"/>
      <c r="C84" s="6"/>
      <c r="D84" s="7"/>
      <c r="E84" s="8"/>
      <c r="F84" s="8"/>
      <c r="G84" s="8"/>
      <c r="H84" s="9"/>
      <c r="I84" s="9"/>
      <c r="J84" s="9"/>
      <c r="K84" s="8"/>
      <c r="L84" s="5"/>
    </row>
    <row r="85" spans="1:12" ht="18.600000000000001" customHeight="1" x14ac:dyDescent="0.25">
      <c r="A85" s="5"/>
      <c r="B85" s="5"/>
      <c r="C85" s="6"/>
      <c r="D85" s="7"/>
      <c r="E85" s="8"/>
      <c r="F85" s="8"/>
      <c r="G85" s="8"/>
      <c r="H85" s="9"/>
      <c r="I85" s="9"/>
      <c r="J85" s="9"/>
      <c r="K85" s="8"/>
      <c r="L85" s="5"/>
    </row>
    <row r="86" spans="1:12" ht="18.600000000000001" customHeight="1" x14ac:dyDescent="0.25">
      <c r="A86" s="5"/>
      <c r="B86" s="5"/>
      <c r="C86" s="6"/>
      <c r="D86" s="7"/>
      <c r="E86" s="8"/>
      <c r="F86" s="8"/>
      <c r="G86" s="8"/>
      <c r="H86" s="9"/>
      <c r="I86" s="9"/>
      <c r="J86" s="9"/>
      <c r="K86" s="8"/>
      <c r="L86" s="5"/>
    </row>
    <row r="87" spans="1:12" ht="18.600000000000001" customHeight="1" x14ac:dyDescent="0.25">
      <c r="A87" s="5"/>
      <c r="B87" s="5"/>
      <c r="C87" s="6"/>
      <c r="D87" s="7"/>
      <c r="E87" s="8"/>
      <c r="F87" s="8"/>
      <c r="G87" s="8"/>
      <c r="H87" s="9"/>
      <c r="I87" s="9"/>
      <c r="J87" s="9"/>
      <c r="K87" s="8"/>
      <c r="L87" s="5"/>
    </row>
    <row r="88" spans="1:12" ht="18.600000000000001" customHeight="1" x14ac:dyDescent="0.25">
      <c r="A88" s="5"/>
      <c r="B88" s="5"/>
      <c r="C88" s="6"/>
      <c r="D88" s="7"/>
      <c r="E88" s="8"/>
      <c r="F88" s="8"/>
      <c r="G88" s="8"/>
      <c r="H88" s="9"/>
      <c r="I88" s="9"/>
      <c r="J88" s="9"/>
      <c r="K88" s="8"/>
      <c r="L88" s="5"/>
    </row>
    <row r="89" spans="1:12" ht="18.600000000000001" customHeight="1" x14ac:dyDescent="0.25">
      <c r="A89" s="5"/>
      <c r="B89" s="5"/>
      <c r="C89" s="6"/>
      <c r="D89" s="7"/>
      <c r="E89" s="8"/>
      <c r="F89" s="8"/>
      <c r="G89" s="8"/>
      <c r="H89" s="9"/>
      <c r="I89" s="9"/>
      <c r="J89" s="9"/>
      <c r="K89" s="8"/>
      <c r="L89" s="5"/>
    </row>
    <row r="90" spans="1:12" ht="18.600000000000001" customHeight="1" x14ac:dyDescent="0.25">
      <c r="A90" s="5"/>
      <c r="B90" s="5"/>
      <c r="C90" s="6"/>
      <c r="D90" s="7"/>
      <c r="E90" s="8"/>
      <c r="F90" s="8"/>
      <c r="G90" s="8"/>
      <c r="H90" s="9"/>
      <c r="I90" s="9"/>
      <c r="J90" s="9"/>
      <c r="K90" s="8"/>
      <c r="L90" s="5"/>
    </row>
    <row r="91" spans="1:12" ht="18.600000000000001" customHeight="1" x14ac:dyDescent="0.25">
      <c r="A91" s="5"/>
      <c r="B91" s="5"/>
      <c r="C91" s="6"/>
      <c r="D91" s="7"/>
      <c r="E91" s="8"/>
      <c r="F91" s="8"/>
      <c r="G91" s="8"/>
      <c r="H91" s="9"/>
      <c r="I91" s="9"/>
      <c r="J91" s="9"/>
      <c r="K91" s="8"/>
      <c r="L91" s="5"/>
    </row>
    <row r="92" spans="1:12" ht="18.600000000000001" customHeight="1" x14ac:dyDescent="0.25">
      <c r="A92" s="5"/>
      <c r="B92" s="5"/>
      <c r="C92" s="6"/>
      <c r="D92" s="7"/>
      <c r="E92" s="8"/>
      <c r="F92" s="8"/>
      <c r="G92" s="8"/>
      <c r="H92" s="9"/>
      <c r="I92" s="9"/>
      <c r="J92" s="9"/>
      <c r="K92" s="8"/>
      <c r="L92" s="5"/>
    </row>
    <row r="93" spans="1:12" ht="18.600000000000001" customHeight="1" x14ac:dyDescent="0.25">
      <c r="A93" s="5"/>
      <c r="B93" s="5"/>
      <c r="C93" s="6"/>
      <c r="D93" s="7"/>
      <c r="E93" s="8"/>
      <c r="F93" s="8"/>
      <c r="G93" s="8"/>
      <c r="H93" s="9"/>
      <c r="I93" s="9"/>
      <c r="J93" s="9"/>
      <c r="K93" s="8"/>
      <c r="L93" s="5"/>
    </row>
    <row r="94" spans="1:12" ht="18.600000000000001" customHeight="1" x14ac:dyDescent="0.25">
      <c r="A94" s="5"/>
      <c r="B94" s="5"/>
      <c r="C94" s="6"/>
      <c r="D94" s="7"/>
      <c r="E94" s="8"/>
      <c r="F94" s="8"/>
      <c r="G94" s="8"/>
      <c r="H94" s="9"/>
      <c r="I94" s="9"/>
      <c r="J94" s="9"/>
      <c r="K94" s="8"/>
      <c r="L94" s="5"/>
    </row>
    <row r="95" spans="1:12" ht="18.600000000000001" customHeight="1" x14ac:dyDescent="0.25">
      <c r="A95" s="5"/>
      <c r="B95" s="5"/>
      <c r="C95" s="6"/>
      <c r="D95" s="7"/>
      <c r="E95" s="8"/>
      <c r="F95" s="8"/>
      <c r="G95" s="8"/>
      <c r="H95" s="9"/>
      <c r="I95" s="9"/>
      <c r="J95" s="9"/>
      <c r="K95" s="8"/>
      <c r="L95" s="5"/>
    </row>
    <row r="96" spans="1:12" ht="18.600000000000001" customHeight="1" x14ac:dyDescent="0.25">
      <c r="A96" s="5"/>
      <c r="B96" s="5"/>
      <c r="C96" s="6"/>
      <c r="D96" s="7"/>
      <c r="E96" s="8"/>
      <c r="F96" s="8"/>
      <c r="G96" s="8"/>
      <c r="H96" s="9"/>
      <c r="I96" s="9"/>
      <c r="J96" s="9"/>
      <c r="K96" s="8"/>
      <c r="L96" s="5"/>
    </row>
    <row r="97" spans="1:12" ht="18.600000000000001" customHeight="1" x14ac:dyDescent="0.25">
      <c r="A97" s="5"/>
      <c r="B97" s="5"/>
      <c r="C97" s="6"/>
      <c r="D97" s="7"/>
      <c r="E97" s="8"/>
      <c r="F97" s="8"/>
      <c r="G97" s="8"/>
      <c r="H97" s="9"/>
      <c r="I97" s="9"/>
      <c r="J97" s="9"/>
      <c r="K97" s="8"/>
      <c r="L97" s="5"/>
    </row>
    <row r="98" spans="1:12" ht="18.600000000000001" customHeight="1" x14ac:dyDescent="0.25">
      <c r="A98" s="5"/>
      <c r="B98" s="5"/>
      <c r="C98" s="6"/>
      <c r="D98" s="7"/>
      <c r="E98" s="8"/>
      <c r="F98" s="8"/>
      <c r="G98" s="8"/>
      <c r="H98" s="9"/>
      <c r="I98" s="9"/>
      <c r="J98" s="9"/>
      <c r="K98" s="8"/>
      <c r="L98" s="5"/>
    </row>
    <row r="99" spans="1:12" ht="18.600000000000001" customHeight="1" x14ac:dyDescent="0.25">
      <c r="A99" s="5"/>
      <c r="B99" s="5"/>
      <c r="C99" s="6"/>
      <c r="D99" s="7"/>
      <c r="E99" s="8"/>
      <c r="F99" s="8"/>
      <c r="G99" s="8"/>
      <c r="H99" s="9"/>
      <c r="I99" s="9"/>
      <c r="J99" s="9"/>
      <c r="K99" s="8"/>
      <c r="L99" s="5"/>
    </row>
    <row r="100" spans="1:12" ht="18.600000000000001" customHeight="1" x14ac:dyDescent="0.25">
      <c r="A100" s="5"/>
      <c r="B100" s="5"/>
      <c r="C100" s="6"/>
      <c r="D100" s="7"/>
      <c r="E100" s="8"/>
      <c r="F100" s="8"/>
      <c r="G100" s="8"/>
      <c r="H100" s="9"/>
      <c r="I100" s="9"/>
      <c r="J100" s="9"/>
      <c r="K100" s="8"/>
      <c r="L100" s="5"/>
    </row>
    <row r="101" spans="1:12" ht="18.600000000000001" customHeight="1" x14ac:dyDescent="0.25">
      <c r="A101" s="5"/>
      <c r="B101" s="5"/>
      <c r="C101" s="6"/>
      <c r="D101" s="7"/>
      <c r="E101" s="8"/>
      <c r="F101" s="8"/>
      <c r="G101" s="8"/>
      <c r="H101" s="9"/>
      <c r="I101" s="9"/>
      <c r="J101" s="9"/>
      <c r="K101" s="8"/>
      <c r="L101" s="5"/>
    </row>
    <row r="102" spans="1:12" ht="18.600000000000001" customHeight="1" x14ac:dyDescent="0.25">
      <c r="A102" s="5"/>
      <c r="B102" s="5"/>
      <c r="C102" s="6"/>
      <c r="D102" s="7"/>
      <c r="E102" s="8"/>
      <c r="F102" s="8"/>
      <c r="G102" s="8"/>
      <c r="H102" s="9"/>
      <c r="I102" s="9"/>
      <c r="J102" s="9"/>
      <c r="K102" s="8"/>
      <c r="L102" s="5"/>
    </row>
    <row r="103" spans="1:12" ht="18.600000000000001" customHeight="1" x14ac:dyDescent="0.25">
      <c r="A103" s="5"/>
      <c r="B103" s="5"/>
      <c r="C103" s="6"/>
      <c r="D103" s="7"/>
      <c r="E103" s="8"/>
      <c r="F103" s="8"/>
      <c r="G103" s="8"/>
      <c r="H103" s="9"/>
      <c r="I103" s="9"/>
      <c r="J103" s="9"/>
      <c r="K103" s="8"/>
      <c r="L103" s="5"/>
    </row>
    <row r="104" spans="1:12" ht="18.600000000000001" customHeight="1" x14ac:dyDescent="0.25">
      <c r="A104" s="5"/>
      <c r="B104" s="5"/>
      <c r="C104" s="6"/>
      <c r="D104" s="7"/>
      <c r="E104" s="8"/>
      <c r="F104" s="8"/>
      <c r="G104" s="8"/>
      <c r="H104" s="9"/>
      <c r="I104" s="9"/>
      <c r="J104" s="9"/>
      <c r="K104" s="8"/>
      <c r="L104" s="5"/>
    </row>
    <row r="105" spans="1:12" ht="18.600000000000001" customHeight="1" x14ac:dyDescent="0.25">
      <c r="A105" s="5"/>
      <c r="B105" s="5"/>
      <c r="C105" s="6"/>
      <c r="D105" s="7"/>
      <c r="E105" s="8"/>
      <c r="F105" s="8"/>
      <c r="G105" s="8"/>
      <c r="H105" s="9"/>
      <c r="I105" s="9"/>
      <c r="J105" s="9"/>
      <c r="K105" s="8"/>
      <c r="L105" s="5"/>
    </row>
    <row r="106" spans="1:12" ht="18.600000000000001" customHeight="1" x14ac:dyDescent="0.25">
      <c r="A106" s="5"/>
      <c r="B106" s="5"/>
      <c r="C106" s="6"/>
      <c r="D106" s="7"/>
      <c r="E106" s="8"/>
      <c r="F106" s="8"/>
      <c r="G106" s="8"/>
      <c r="H106" s="9"/>
      <c r="I106" s="9"/>
      <c r="J106" s="9"/>
      <c r="K106" s="8"/>
      <c r="L106" s="5"/>
    </row>
    <row r="107" spans="1:12" ht="18.600000000000001" customHeight="1" x14ac:dyDescent="0.25">
      <c r="A107" s="5"/>
      <c r="B107" s="5"/>
      <c r="C107" s="6"/>
      <c r="D107" s="7"/>
      <c r="E107" s="8"/>
      <c r="F107" s="8"/>
      <c r="G107" s="8"/>
      <c r="H107" s="9"/>
      <c r="I107" s="9"/>
      <c r="J107" s="9"/>
      <c r="K107" s="8"/>
      <c r="L107" s="5"/>
    </row>
    <row r="108" spans="1:12" ht="18.600000000000001" customHeight="1" x14ac:dyDescent="0.25">
      <c r="A108" s="5"/>
      <c r="B108" s="5"/>
      <c r="C108" s="6"/>
      <c r="D108" s="7"/>
      <c r="E108" s="8"/>
      <c r="F108" s="8"/>
      <c r="G108" s="8"/>
      <c r="H108" s="9"/>
      <c r="I108" s="9"/>
      <c r="J108" s="9"/>
      <c r="K108" s="8"/>
      <c r="L108" s="5"/>
    </row>
    <row r="109" spans="1:12" ht="18.600000000000001" customHeight="1" x14ac:dyDescent="0.25">
      <c r="A109" s="5"/>
      <c r="B109" s="5"/>
      <c r="C109" s="6"/>
      <c r="D109" s="7"/>
      <c r="E109" s="8"/>
      <c r="F109" s="8"/>
      <c r="G109" s="8"/>
      <c r="H109" s="9"/>
      <c r="I109" s="9"/>
      <c r="J109" s="9"/>
      <c r="K109" s="8"/>
      <c r="L109" s="5"/>
    </row>
    <row r="110" spans="1:12" ht="18.600000000000001" customHeight="1" x14ac:dyDescent="0.25">
      <c r="A110" s="5"/>
      <c r="B110" s="5"/>
      <c r="C110" s="6"/>
      <c r="D110" s="7"/>
      <c r="E110" s="8"/>
      <c r="F110" s="8"/>
      <c r="G110" s="8"/>
      <c r="H110" s="9"/>
      <c r="I110" s="9"/>
      <c r="J110" s="9"/>
      <c r="K110" s="8"/>
      <c r="L110" s="5"/>
    </row>
    <row r="111" spans="1:12" ht="18.600000000000001" customHeight="1" x14ac:dyDescent="0.25">
      <c r="A111" s="5"/>
      <c r="B111" s="5"/>
      <c r="C111" s="6"/>
      <c r="D111" s="7"/>
      <c r="E111" s="8"/>
      <c r="F111" s="8"/>
      <c r="G111" s="8"/>
      <c r="H111" s="9"/>
      <c r="I111" s="9"/>
      <c r="J111" s="9"/>
      <c r="K111" s="8"/>
      <c r="L111" s="5"/>
    </row>
    <row r="112" spans="1:12" ht="18.600000000000001" customHeight="1" x14ac:dyDescent="0.25">
      <c r="A112" s="5"/>
      <c r="B112" s="5"/>
      <c r="C112" s="6"/>
      <c r="D112" s="7"/>
      <c r="E112" s="8"/>
      <c r="F112" s="8"/>
      <c r="G112" s="8"/>
      <c r="H112" s="9"/>
      <c r="I112" s="9"/>
      <c r="J112" s="9"/>
      <c r="K112" s="8"/>
      <c r="L112" s="5"/>
    </row>
    <row r="113" spans="1:12" ht="18.600000000000001" customHeight="1" x14ac:dyDescent="0.25">
      <c r="A113" s="5"/>
      <c r="B113" s="5"/>
      <c r="C113" s="6"/>
      <c r="D113" s="7"/>
      <c r="E113" s="8"/>
      <c r="F113" s="8"/>
      <c r="G113" s="8"/>
      <c r="H113" s="9"/>
      <c r="I113" s="9"/>
      <c r="J113" s="9"/>
      <c r="K113" s="8"/>
      <c r="L113" s="5"/>
    </row>
    <row r="114" spans="1:12" ht="18.600000000000001" customHeight="1" x14ac:dyDescent="0.25">
      <c r="A114" s="5"/>
      <c r="B114" s="5"/>
      <c r="C114" s="6"/>
      <c r="D114" s="7"/>
      <c r="E114" s="8"/>
      <c r="F114" s="8"/>
      <c r="G114" s="8"/>
      <c r="H114" s="9"/>
      <c r="I114" s="9"/>
      <c r="J114" s="9"/>
      <c r="K114" s="8"/>
      <c r="L114" s="5"/>
    </row>
    <row r="115" spans="1:12" ht="18.600000000000001" customHeight="1" x14ac:dyDescent="0.25">
      <c r="A115" s="5"/>
      <c r="B115" s="5"/>
      <c r="C115" s="6"/>
      <c r="D115" s="7"/>
      <c r="E115" s="8"/>
      <c r="F115" s="8"/>
      <c r="G115" s="8"/>
      <c r="H115" s="9"/>
      <c r="I115" s="9"/>
      <c r="J115" s="9"/>
      <c r="K115" s="8"/>
      <c r="L115" s="5"/>
    </row>
    <row r="116" spans="1:12" ht="18.600000000000001" customHeight="1" x14ac:dyDescent="0.25">
      <c r="A116" s="5"/>
      <c r="B116" s="5"/>
      <c r="C116" s="6"/>
      <c r="D116" s="7"/>
      <c r="E116" s="8"/>
      <c r="F116" s="8"/>
      <c r="G116" s="8"/>
      <c r="H116" s="9"/>
      <c r="I116" s="9"/>
      <c r="J116" s="9"/>
      <c r="K116" s="8"/>
      <c r="L116" s="5"/>
    </row>
    <row r="117" spans="1:12" ht="18.600000000000001" customHeight="1" x14ac:dyDescent="0.25">
      <c r="A117" s="5"/>
      <c r="B117" s="5"/>
      <c r="C117" s="6"/>
      <c r="D117" s="7"/>
      <c r="E117" s="8"/>
      <c r="F117" s="8"/>
      <c r="G117" s="8"/>
      <c r="H117" s="9"/>
      <c r="I117" s="9"/>
      <c r="J117" s="9"/>
      <c r="K117" s="8"/>
      <c r="L117" s="5"/>
    </row>
    <row r="118" spans="1:12" ht="18.600000000000001" customHeight="1" x14ac:dyDescent="0.25">
      <c r="A118" s="5"/>
      <c r="B118" s="5"/>
      <c r="C118" s="6"/>
      <c r="D118" s="7"/>
      <c r="E118" s="8"/>
      <c r="F118" s="8"/>
      <c r="G118" s="8"/>
      <c r="H118" s="9"/>
      <c r="I118" s="9"/>
      <c r="J118" s="9"/>
      <c r="K118" s="8"/>
      <c r="L118" s="5"/>
    </row>
    <row r="119" spans="1:12" ht="18.600000000000001" customHeight="1" x14ac:dyDescent="0.25">
      <c r="A119" s="5"/>
      <c r="B119" s="5"/>
      <c r="C119" s="6"/>
      <c r="D119" s="7"/>
      <c r="E119" s="8"/>
      <c r="F119" s="8"/>
      <c r="G119" s="8"/>
      <c r="H119" s="9"/>
      <c r="I119" s="9"/>
      <c r="J119" s="9"/>
      <c r="K119" s="8"/>
      <c r="L119" s="5"/>
    </row>
    <row r="120" spans="1:12" ht="18.600000000000001" customHeight="1" x14ac:dyDescent="0.25">
      <c r="A120" s="5"/>
      <c r="B120" s="5"/>
      <c r="C120" s="6"/>
      <c r="D120" s="7"/>
      <c r="E120" s="8"/>
      <c r="F120" s="8"/>
      <c r="G120" s="8"/>
      <c r="H120" s="9"/>
      <c r="I120" s="9"/>
      <c r="J120" s="9"/>
      <c r="K120" s="8"/>
      <c r="L120" s="5"/>
    </row>
    <row r="121" spans="1:12" ht="18.600000000000001" customHeight="1" x14ac:dyDescent="0.25">
      <c r="A121" s="5"/>
      <c r="B121" s="5"/>
      <c r="C121" s="6"/>
      <c r="D121" s="7"/>
      <c r="E121" s="8"/>
      <c r="F121" s="8"/>
      <c r="G121" s="8"/>
      <c r="H121" s="9"/>
      <c r="I121" s="9"/>
      <c r="J121" s="9"/>
      <c r="K121" s="8"/>
      <c r="L121" s="5"/>
    </row>
    <row r="122" spans="1:12" ht="18.600000000000001" customHeight="1" x14ac:dyDescent="0.25">
      <c r="A122" s="5"/>
      <c r="B122" s="5"/>
      <c r="C122" s="6"/>
      <c r="D122" s="7"/>
      <c r="E122" s="8"/>
      <c r="F122" s="8"/>
      <c r="G122" s="8"/>
      <c r="H122" s="9"/>
      <c r="I122" s="9"/>
      <c r="J122" s="9"/>
      <c r="K122" s="8"/>
      <c r="L122" s="5"/>
    </row>
    <row r="123" spans="1:12" ht="18.600000000000001" customHeight="1" x14ac:dyDescent="0.25">
      <c r="A123" s="5"/>
      <c r="B123" s="5"/>
      <c r="C123" s="6"/>
      <c r="D123" s="7"/>
      <c r="E123" s="8"/>
      <c r="F123" s="8"/>
      <c r="G123" s="8"/>
      <c r="H123" s="9"/>
      <c r="I123" s="9"/>
      <c r="J123" s="9"/>
      <c r="K123" s="8"/>
      <c r="L123" s="5"/>
    </row>
    <row r="124" spans="1:12" ht="18.600000000000001" customHeight="1" x14ac:dyDescent="0.25">
      <c r="A124" s="5"/>
      <c r="B124" s="5"/>
      <c r="C124" s="6"/>
      <c r="D124" s="7"/>
      <c r="E124" s="8"/>
      <c r="F124" s="8"/>
      <c r="G124" s="8"/>
      <c r="H124" s="9"/>
      <c r="I124" s="9"/>
      <c r="J124" s="9"/>
      <c r="K124" s="8"/>
      <c r="L124" s="5"/>
    </row>
    <row r="125" spans="1:12" ht="18.600000000000001" customHeight="1" x14ac:dyDescent="0.25">
      <c r="A125" s="5"/>
      <c r="B125" s="5"/>
      <c r="C125" s="6"/>
      <c r="D125" s="7"/>
      <c r="E125" s="8"/>
      <c r="F125" s="8"/>
      <c r="G125" s="8"/>
      <c r="H125" s="9"/>
      <c r="I125" s="9"/>
      <c r="J125" s="9"/>
      <c r="K125" s="8"/>
      <c r="L125" s="5"/>
    </row>
    <row r="126" spans="1:12" ht="18.600000000000001" customHeight="1" x14ac:dyDescent="0.25">
      <c r="A126" s="5"/>
      <c r="B126" s="5"/>
      <c r="C126" s="6"/>
      <c r="D126" s="7"/>
      <c r="E126" s="8"/>
      <c r="F126" s="8"/>
      <c r="G126" s="8"/>
      <c r="H126" s="9"/>
      <c r="I126" s="9"/>
      <c r="J126" s="9"/>
      <c r="K126" s="8"/>
      <c r="L126" s="5"/>
    </row>
    <row r="127" spans="1:12" ht="18.600000000000001" customHeight="1" x14ac:dyDescent="0.25">
      <c r="A127" s="5"/>
      <c r="B127" s="5"/>
      <c r="C127" s="6"/>
      <c r="D127" s="7"/>
      <c r="E127" s="8"/>
      <c r="F127" s="8"/>
      <c r="G127" s="8"/>
      <c r="H127" s="9"/>
      <c r="I127" s="9"/>
      <c r="J127" s="9"/>
      <c r="K127" s="8"/>
      <c r="L127" s="5"/>
    </row>
    <row r="128" spans="1:12" ht="18.600000000000001" customHeight="1" x14ac:dyDescent="0.25">
      <c r="A128" s="5"/>
      <c r="B128" s="5"/>
      <c r="C128" s="6"/>
      <c r="D128" s="7"/>
      <c r="E128" s="8"/>
      <c r="F128" s="8"/>
      <c r="G128" s="8"/>
      <c r="H128" s="9"/>
      <c r="I128" s="9"/>
      <c r="J128" s="9"/>
      <c r="K128" s="8"/>
      <c r="L128" s="5"/>
    </row>
    <row r="129" spans="1:12" ht="18.600000000000001" customHeight="1" x14ac:dyDescent="0.25">
      <c r="A129" s="5"/>
      <c r="B129" s="5"/>
      <c r="C129" s="6"/>
      <c r="D129" s="7"/>
      <c r="E129" s="8"/>
      <c r="F129" s="8"/>
      <c r="G129" s="8"/>
      <c r="H129" s="9"/>
      <c r="I129" s="9"/>
      <c r="J129" s="9"/>
      <c r="K129" s="8"/>
      <c r="L129" s="5"/>
    </row>
    <row r="130" spans="1:12" ht="18.600000000000001" customHeight="1" x14ac:dyDescent="0.25">
      <c r="A130" s="5"/>
      <c r="B130" s="5"/>
      <c r="C130" s="6"/>
      <c r="D130" s="7"/>
      <c r="E130" s="8"/>
      <c r="F130" s="8"/>
      <c r="G130" s="8"/>
      <c r="H130" s="9"/>
      <c r="I130" s="9"/>
      <c r="J130" s="9"/>
      <c r="K130" s="8"/>
      <c r="L130" s="5"/>
    </row>
    <row r="131" spans="1:12" ht="18.600000000000001" customHeight="1" x14ac:dyDescent="0.25">
      <c r="A131" s="5"/>
      <c r="B131" s="5"/>
      <c r="C131" s="6"/>
      <c r="D131" s="7"/>
      <c r="E131" s="8"/>
      <c r="F131" s="8"/>
      <c r="G131" s="8"/>
      <c r="H131" s="9"/>
      <c r="I131" s="9"/>
      <c r="J131" s="9"/>
      <c r="K131" s="8"/>
      <c r="L131" s="5"/>
    </row>
    <row r="132" spans="1:12" ht="18.600000000000001" customHeight="1" x14ac:dyDescent="0.25">
      <c r="A132" s="5"/>
      <c r="B132" s="5"/>
      <c r="C132" s="6"/>
      <c r="D132" s="7"/>
      <c r="E132" s="8"/>
      <c r="F132" s="8"/>
      <c r="G132" s="8"/>
      <c r="H132" s="9"/>
      <c r="I132" s="9"/>
      <c r="J132" s="9"/>
      <c r="K132" s="8"/>
      <c r="L132" s="5"/>
    </row>
    <row r="133" spans="1:12" ht="18.600000000000001" customHeight="1" x14ac:dyDescent="0.25">
      <c r="A133" s="5"/>
      <c r="B133" s="5"/>
      <c r="C133" s="6"/>
      <c r="D133" s="7"/>
      <c r="E133" s="8"/>
      <c r="F133" s="8"/>
      <c r="G133" s="8"/>
      <c r="H133" s="9"/>
      <c r="I133" s="9"/>
      <c r="J133" s="9"/>
      <c r="K133" s="8"/>
      <c r="L133" s="5"/>
    </row>
    <row r="134" spans="1:12" ht="18.600000000000001" customHeight="1" x14ac:dyDescent="0.25">
      <c r="A134" s="5"/>
      <c r="B134" s="5"/>
      <c r="C134" s="6"/>
      <c r="D134" s="7"/>
      <c r="E134" s="8"/>
      <c r="F134" s="8"/>
      <c r="G134" s="8"/>
      <c r="H134" s="9"/>
      <c r="I134" s="9"/>
      <c r="J134" s="9"/>
      <c r="K134" s="8"/>
      <c r="L134" s="5"/>
    </row>
    <row r="135" spans="1:12" ht="18.600000000000001" customHeight="1" x14ac:dyDescent="0.25">
      <c r="A135" s="5"/>
      <c r="B135" s="5"/>
      <c r="C135" s="6"/>
      <c r="D135" s="7"/>
      <c r="E135" s="8"/>
      <c r="F135" s="8"/>
      <c r="G135" s="8"/>
      <c r="H135" s="9"/>
      <c r="I135" s="9"/>
      <c r="J135" s="9"/>
      <c r="K135" s="8"/>
      <c r="L135" s="5"/>
    </row>
    <row r="136" spans="1:12" ht="18.600000000000001" customHeight="1" x14ac:dyDescent="0.25">
      <c r="A136" s="5"/>
      <c r="B136" s="5"/>
      <c r="C136" s="6"/>
      <c r="D136" s="7"/>
      <c r="E136" s="8"/>
      <c r="F136" s="8"/>
      <c r="G136" s="8"/>
      <c r="H136" s="9"/>
      <c r="I136" s="9"/>
      <c r="J136" s="9"/>
      <c r="K136" s="8"/>
      <c r="L136" s="5"/>
    </row>
    <row r="137" spans="1:12" ht="18.600000000000001" customHeight="1" x14ac:dyDescent="0.25">
      <c r="A137" s="5"/>
      <c r="B137" s="5"/>
      <c r="C137" s="6"/>
      <c r="D137" s="7"/>
      <c r="E137" s="8"/>
      <c r="F137" s="8"/>
      <c r="G137" s="8"/>
      <c r="H137" s="9"/>
      <c r="I137" s="9"/>
      <c r="J137" s="9"/>
      <c r="K137" s="8"/>
      <c r="L137" s="5"/>
    </row>
    <row r="138" spans="1:12" ht="18.600000000000001" customHeight="1" x14ac:dyDescent="0.25">
      <c r="A138" s="5"/>
      <c r="B138" s="5"/>
      <c r="C138" s="6"/>
      <c r="D138" s="7"/>
      <c r="E138" s="8"/>
      <c r="F138" s="8"/>
      <c r="G138" s="8"/>
      <c r="H138" s="9"/>
      <c r="I138" s="9"/>
      <c r="J138" s="9"/>
      <c r="K138" s="8"/>
      <c r="L138" s="5"/>
    </row>
    <row r="139" spans="1:12" ht="18.600000000000001" customHeight="1" x14ac:dyDescent="0.25">
      <c r="A139" s="5"/>
      <c r="B139" s="5"/>
      <c r="C139" s="6"/>
      <c r="D139" s="7"/>
      <c r="E139" s="8"/>
      <c r="F139" s="8"/>
      <c r="G139" s="8"/>
      <c r="H139" s="9"/>
      <c r="I139" s="9"/>
      <c r="J139" s="9"/>
      <c r="K139" s="8"/>
      <c r="L139" s="5"/>
    </row>
    <row r="140" spans="1:12" ht="18.600000000000001" customHeight="1" x14ac:dyDescent="0.25">
      <c r="A140" s="5"/>
      <c r="B140" s="5"/>
      <c r="C140" s="6"/>
      <c r="D140" s="7"/>
      <c r="E140" s="8"/>
      <c r="F140" s="8"/>
      <c r="G140" s="8"/>
      <c r="H140" s="9"/>
      <c r="I140" s="9"/>
      <c r="J140" s="9"/>
      <c r="K140" s="8"/>
      <c r="L140" s="5"/>
    </row>
    <row r="141" spans="1:12" ht="18.600000000000001" customHeight="1" x14ac:dyDescent="0.25">
      <c r="A141" s="5"/>
      <c r="B141" s="5"/>
      <c r="C141" s="6"/>
      <c r="D141" s="7"/>
      <c r="E141" s="8"/>
      <c r="F141" s="8"/>
      <c r="G141" s="8"/>
      <c r="H141" s="9"/>
      <c r="I141" s="9"/>
      <c r="J141" s="9"/>
      <c r="K141" s="8"/>
      <c r="L141" s="5"/>
    </row>
    <row r="142" spans="1:12" ht="18.600000000000001" customHeight="1" x14ac:dyDescent="0.25">
      <c r="A142" s="5"/>
      <c r="B142" s="5"/>
      <c r="C142" s="6"/>
      <c r="D142" s="7"/>
      <c r="E142" s="8"/>
      <c r="F142" s="8"/>
      <c r="G142" s="8"/>
      <c r="H142" s="9"/>
      <c r="I142" s="9"/>
      <c r="J142" s="9"/>
      <c r="K142" s="8"/>
      <c r="L142" s="5"/>
    </row>
    <row r="143" spans="1:12" ht="18.600000000000001" customHeight="1" x14ac:dyDescent="0.25">
      <c r="A143" s="5"/>
      <c r="B143" s="5"/>
      <c r="C143" s="6"/>
      <c r="D143" s="7"/>
      <c r="E143" s="8"/>
      <c r="F143" s="8"/>
      <c r="G143" s="8"/>
      <c r="H143" s="9"/>
      <c r="I143" s="9"/>
      <c r="J143" s="9"/>
      <c r="K143" s="8"/>
      <c r="L143" s="5"/>
    </row>
    <row r="144" spans="1:12" ht="18.600000000000001" customHeight="1" x14ac:dyDescent="0.25">
      <c r="A144" s="5"/>
      <c r="B144" s="5"/>
      <c r="C144" s="6"/>
      <c r="D144" s="7"/>
      <c r="E144" s="8"/>
      <c r="F144" s="8"/>
      <c r="G144" s="8"/>
      <c r="H144" s="9"/>
      <c r="I144" s="9"/>
      <c r="J144" s="9"/>
      <c r="K144" s="8"/>
      <c r="L144" s="5"/>
    </row>
    <row r="145" spans="1:12" ht="18.600000000000001" customHeight="1" x14ac:dyDescent="0.25">
      <c r="A145" s="5"/>
      <c r="B145" s="5"/>
      <c r="C145" s="6"/>
      <c r="D145" s="7"/>
      <c r="E145" s="8"/>
      <c r="F145" s="8"/>
      <c r="G145" s="8"/>
      <c r="H145" s="9"/>
      <c r="I145" s="9"/>
      <c r="J145" s="9"/>
      <c r="K145" s="8"/>
      <c r="L145" s="5"/>
    </row>
    <row r="146" spans="1:12" ht="18.600000000000001" customHeight="1" x14ac:dyDescent="0.25">
      <c r="A146" s="5"/>
      <c r="B146" s="5"/>
      <c r="C146" s="6"/>
      <c r="D146" s="7"/>
      <c r="E146" s="8"/>
      <c r="F146" s="8"/>
      <c r="G146" s="8"/>
      <c r="H146" s="9"/>
      <c r="I146" s="9"/>
      <c r="J146" s="9"/>
      <c r="K146" s="8"/>
      <c r="L146" s="5"/>
    </row>
    <row r="147" spans="1:12" ht="18.600000000000001" customHeight="1" x14ac:dyDescent="0.25">
      <c r="A147" s="5"/>
      <c r="B147" s="5"/>
      <c r="C147" s="6"/>
      <c r="D147" s="7"/>
      <c r="E147" s="8"/>
      <c r="F147" s="8"/>
      <c r="G147" s="8"/>
      <c r="H147" s="9"/>
      <c r="I147" s="9"/>
      <c r="J147" s="9"/>
      <c r="K147" s="8"/>
      <c r="L147" s="5"/>
    </row>
    <row r="148" spans="1:12" ht="18.600000000000001" customHeight="1" x14ac:dyDescent="0.25">
      <c r="A148" s="5"/>
      <c r="B148" s="5"/>
      <c r="C148" s="6"/>
      <c r="D148" s="7"/>
      <c r="E148" s="8"/>
      <c r="F148" s="8"/>
      <c r="G148" s="8"/>
      <c r="H148" s="9"/>
      <c r="I148" s="9"/>
      <c r="J148" s="9"/>
      <c r="K148" s="8"/>
      <c r="L148" s="5"/>
    </row>
    <row r="149" spans="1:12" ht="18.600000000000001" customHeight="1" x14ac:dyDescent="0.25">
      <c r="A149" s="5"/>
      <c r="B149" s="5"/>
      <c r="C149" s="6"/>
      <c r="D149" s="7"/>
      <c r="E149" s="8"/>
      <c r="F149" s="8"/>
      <c r="G149" s="8"/>
      <c r="H149" s="9"/>
      <c r="I149" s="9"/>
      <c r="J149" s="9"/>
      <c r="K149" s="8"/>
      <c r="L149" s="5"/>
    </row>
    <row r="150" spans="1:12" ht="18.600000000000001" customHeight="1" x14ac:dyDescent="0.25">
      <c r="A150" s="5"/>
      <c r="B150" s="5"/>
      <c r="C150" s="6"/>
      <c r="D150" s="7"/>
      <c r="E150" s="8"/>
      <c r="F150" s="8"/>
      <c r="G150" s="8"/>
      <c r="H150" s="9"/>
      <c r="I150" s="9"/>
      <c r="J150" s="9"/>
      <c r="K150" s="8"/>
      <c r="L150" s="5"/>
    </row>
    <row r="151" spans="1:12" ht="18.600000000000001" customHeight="1" x14ac:dyDescent="0.25">
      <c r="A151" s="5"/>
      <c r="B151" s="5"/>
      <c r="C151" s="6"/>
      <c r="D151" s="7"/>
      <c r="E151" s="8"/>
      <c r="F151" s="8"/>
      <c r="G151" s="8"/>
      <c r="H151" s="9"/>
      <c r="I151" s="9"/>
      <c r="J151" s="9"/>
      <c r="K151" s="8"/>
      <c r="L151" s="5"/>
    </row>
    <row r="152" spans="1:12" ht="18.600000000000001" customHeight="1" x14ac:dyDescent="0.25">
      <c r="A152" s="5"/>
      <c r="B152" s="5"/>
      <c r="C152" s="6"/>
      <c r="D152" s="7"/>
      <c r="E152" s="8"/>
      <c r="F152" s="8"/>
      <c r="G152" s="8"/>
      <c r="H152" s="9"/>
      <c r="I152" s="9"/>
      <c r="J152" s="9"/>
      <c r="K152" s="8"/>
      <c r="L152" s="5"/>
    </row>
    <row r="153" spans="1:12" ht="18.600000000000001" customHeight="1" x14ac:dyDescent="0.25">
      <c r="A153" s="5"/>
      <c r="B153" s="5"/>
      <c r="C153" s="6"/>
      <c r="D153" s="7"/>
      <c r="E153" s="8"/>
      <c r="F153" s="8"/>
      <c r="G153" s="8"/>
      <c r="H153" s="9"/>
      <c r="I153" s="9"/>
      <c r="J153" s="9"/>
      <c r="K153" s="8"/>
      <c r="L153" s="5"/>
    </row>
    <row r="154" spans="1:12" ht="18.600000000000001" customHeight="1" x14ac:dyDescent="0.25">
      <c r="A154" s="5"/>
      <c r="B154" s="5"/>
      <c r="C154" s="6"/>
      <c r="D154" s="7"/>
      <c r="E154" s="8"/>
      <c r="F154" s="8"/>
      <c r="G154" s="8"/>
      <c r="H154" s="9"/>
      <c r="I154" s="9"/>
      <c r="J154" s="9"/>
      <c r="K154" s="8"/>
      <c r="L154" s="5"/>
    </row>
    <row r="155" spans="1:12" ht="18.600000000000001" customHeight="1" x14ac:dyDescent="0.25">
      <c r="A155" s="5"/>
      <c r="B155" s="5"/>
      <c r="C155" s="6"/>
      <c r="D155" s="7"/>
      <c r="E155" s="8"/>
      <c r="F155" s="8"/>
      <c r="G155" s="8"/>
      <c r="H155" s="9"/>
      <c r="I155" s="9"/>
      <c r="J155" s="9"/>
      <c r="K155" s="8"/>
      <c r="L155" s="5"/>
    </row>
    <row r="156" spans="1:12" ht="18.600000000000001" customHeight="1" x14ac:dyDescent="0.25">
      <c r="A156" s="5"/>
      <c r="B156" s="5"/>
      <c r="C156" s="6"/>
      <c r="D156" s="7"/>
      <c r="E156" s="8"/>
      <c r="F156" s="8"/>
      <c r="G156" s="8"/>
      <c r="H156" s="9"/>
      <c r="I156" s="9"/>
      <c r="J156" s="9"/>
      <c r="K156" s="8"/>
      <c r="L156" s="5"/>
    </row>
    <row r="157" spans="1:12" ht="18.600000000000001" customHeight="1" x14ac:dyDescent="0.25">
      <c r="A157" s="5"/>
      <c r="B157" s="5"/>
      <c r="C157" s="6"/>
      <c r="D157" s="7"/>
      <c r="E157" s="8"/>
      <c r="F157" s="8"/>
      <c r="G157" s="8"/>
      <c r="H157" s="9"/>
      <c r="I157" s="9"/>
      <c r="J157" s="9"/>
      <c r="K157" s="8"/>
      <c r="L157" s="5"/>
    </row>
    <row r="158" spans="1:12" ht="18.600000000000001" customHeight="1" x14ac:dyDescent="0.25">
      <c r="A158" s="5"/>
      <c r="B158" s="5"/>
      <c r="C158" s="6"/>
      <c r="D158" s="7"/>
      <c r="E158" s="8"/>
      <c r="F158" s="8"/>
      <c r="G158" s="8"/>
      <c r="H158" s="9"/>
      <c r="I158" s="9"/>
      <c r="J158" s="9"/>
      <c r="K158" s="8"/>
      <c r="L158" s="5"/>
    </row>
    <row r="159" spans="1:12" ht="18.600000000000001" customHeight="1" x14ac:dyDescent="0.25">
      <c r="A159" s="5"/>
      <c r="B159" s="5"/>
      <c r="C159" s="6"/>
      <c r="D159" s="7"/>
      <c r="E159" s="8"/>
      <c r="F159" s="8"/>
      <c r="G159" s="8"/>
      <c r="H159" s="9"/>
      <c r="I159" s="9"/>
      <c r="J159" s="9"/>
      <c r="K159" s="8"/>
      <c r="L159" s="5"/>
    </row>
    <row r="160" spans="1:12" ht="18.600000000000001" customHeight="1" x14ac:dyDescent="0.25">
      <c r="A160" s="5"/>
      <c r="B160" s="5"/>
      <c r="C160" s="6"/>
      <c r="D160" s="7"/>
      <c r="E160" s="8"/>
      <c r="F160" s="8"/>
      <c r="G160" s="8"/>
      <c r="H160" s="9"/>
      <c r="I160" s="9"/>
      <c r="J160" s="9"/>
      <c r="K160" s="8"/>
      <c r="L160" s="5"/>
    </row>
    <row r="161" spans="1:12" ht="18.600000000000001" customHeight="1" x14ac:dyDescent="0.25">
      <c r="A161" s="5"/>
      <c r="B161" s="5"/>
      <c r="C161" s="6"/>
      <c r="D161" s="7"/>
      <c r="E161" s="8"/>
      <c r="F161" s="8"/>
      <c r="G161" s="8"/>
      <c r="H161" s="9"/>
      <c r="I161" s="9"/>
      <c r="J161" s="9"/>
      <c r="K161" s="8"/>
      <c r="L161" s="5"/>
    </row>
    <row r="162" spans="1:12" ht="18.600000000000001" customHeight="1" x14ac:dyDescent="0.25">
      <c r="A162" s="5"/>
      <c r="B162" s="5"/>
      <c r="C162" s="6"/>
      <c r="D162" s="7"/>
      <c r="E162" s="8"/>
      <c r="F162" s="8"/>
      <c r="G162" s="8"/>
      <c r="H162" s="9"/>
      <c r="I162" s="9"/>
      <c r="J162" s="9"/>
      <c r="K162" s="8"/>
      <c r="L162" s="5"/>
    </row>
    <row r="163" spans="1:12" ht="18.600000000000001" customHeight="1" x14ac:dyDescent="0.25">
      <c r="A163" s="5"/>
      <c r="B163" s="5"/>
      <c r="C163" s="6"/>
      <c r="D163" s="7"/>
      <c r="E163" s="8"/>
      <c r="F163" s="8"/>
      <c r="G163" s="8"/>
      <c r="H163" s="9"/>
      <c r="I163" s="9"/>
      <c r="J163" s="9"/>
      <c r="K163" s="8"/>
      <c r="L163" s="5"/>
    </row>
    <row r="164" spans="1:12" ht="18.600000000000001" customHeight="1" x14ac:dyDescent="0.25">
      <c r="A164" s="5"/>
      <c r="B164" s="5"/>
      <c r="C164" s="6"/>
      <c r="D164" s="7"/>
      <c r="E164" s="8"/>
      <c r="F164" s="8"/>
      <c r="G164" s="8"/>
      <c r="H164" s="9"/>
      <c r="I164" s="9"/>
      <c r="J164" s="9"/>
      <c r="K164" s="8"/>
      <c r="L164" s="5"/>
    </row>
    <row r="165" spans="1:12" ht="18.600000000000001" customHeight="1" x14ac:dyDescent="0.25">
      <c r="A165" s="5"/>
      <c r="B165" s="5"/>
      <c r="C165" s="6"/>
      <c r="D165" s="7"/>
      <c r="E165" s="8"/>
      <c r="F165" s="8"/>
      <c r="G165" s="8"/>
      <c r="H165" s="9"/>
      <c r="I165" s="9"/>
      <c r="J165" s="9"/>
      <c r="K165" s="8"/>
      <c r="L165" s="5"/>
    </row>
    <row r="166" spans="1:12" ht="18.600000000000001" customHeight="1" x14ac:dyDescent="0.25">
      <c r="A166" s="5"/>
      <c r="B166" s="5"/>
      <c r="C166" s="6"/>
      <c r="D166" s="7"/>
      <c r="E166" s="8"/>
      <c r="F166" s="8"/>
      <c r="G166" s="8"/>
      <c r="H166" s="9"/>
      <c r="I166" s="9"/>
      <c r="J166" s="9"/>
      <c r="K166" s="8"/>
      <c r="L166" s="5"/>
    </row>
    <row r="167" spans="1:12" ht="18.600000000000001" customHeight="1" x14ac:dyDescent="0.25">
      <c r="A167" s="5"/>
      <c r="B167" s="5"/>
      <c r="C167" s="6"/>
      <c r="D167" s="7"/>
      <c r="E167" s="8"/>
      <c r="F167" s="8"/>
      <c r="G167" s="8"/>
      <c r="H167" s="9"/>
      <c r="I167" s="9"/>
      <c r="J167" s="9"/>
      <c r="K167" s="8"/>
      <c r="L167" s="5"/>
    </row>
    <row r="168" spans="1:12" ht="18.600000000000001" customHeight="1" x14ac:dyDescent="0.25">
      <c r="A168" s="5"/>
      <c r="B168" s="5"/>
      <c r="C168" s="6"/>
      <c r="D168" s="7"/>
      <c r="E168" s="8"/>
      <c r="F168" s="8"/>
      <c r="G168" s="8"/>
      <c r="H168" s="9"/>
      <c r="I168" s="9"/>
      <c r="J168" s="9"/>
      <c r="K168" s="8"/>
      <c r="L168" s="5"/>
    </row>
    <row r="169" spans="1:12" ht="18.600000000000001" customHeight="1" x14ac:dyDescent="0.25">
      <c r="A169" s="5"/>
      <c r="B169" s="5"/>
      <c r="C169" s="6"/>
      <c r="D169" s="7"/>
      <c r="E169" s="8"/>
      <c r="F169" s="8"/>
      <c r="G169" s="8"/>
      <c r="H169" s="9"/>
      <c r="I169" s="9"/>
      <c r="J169" s="9"/>
      <c r="K169" s="8"/>
      <c r="L169" s="5"/>
    </row>
    <row r="170" spans="1:12" ht="18.600000000000001" customHeight="1" x14ac:dyDescent="0.25">
      <c r="A170" s="5"/>
      <c r="B170" s="5"/>
      <c r="C170" s="6"/>
      <c r="D170" s="7"/>
      <c r="E170" s="8"/>
      <c r="F170" s="8"/>
      <c r="G170" s="8"/>
      <c r="H170" s="9"/>
      <c r="I170" s="9"/>
      <c r="J170" s="9"/>
      <c r="K170" s="8"/>
      <c r="L170" s="5"/>
    </row>
    <row r="171" spans="1:12" ht="18.600000000000001" customHeight="1" x14ac:dyDescent="0.25">
      <c r="A171" s="5"/>
      <c r="B171" s="5"/>
      <c r="C171" s="6"/>
      <c r="D171" s="7"/>
      <c r="E171" s="8"/>
      <c r="F171" s="8"/>
      <c r="G171" s="8"/>
      <c r="H171" s="9"/>
      <c r="I171" s="9"/>
      <c r="J171" s="9"/>
      <c r="K171" s="8"/>
      <c r="L171" s="5"/>
    </row>
    <row r="172" spans="1:12" ht="18.600000000000001" customHeight="1" x14ac:dyDescent="0.25">
      <c r="A172" s="5"/>
      <c r="B172" s="5"/>
      <c r="C172" s="6"/>
      <c r="D172" s="7"/>
      <c r="E172" s="8"/>
      <c r="F172" s="8"/>
      <c r="G172" s="8"/>
      <c r="H172" s="9"/>
      <c r="I172" s="9"/>
      <c r="J172" s="9"/>
      <c r="K172" s="8"/>
      <c r="L172" s="5"/>
    </row>
    <row r="173" spans="1:12" ht="18.600000000000001" customHeight="1" x14ac:dyDescent="0.25">
      <c r="A173" s="5"/>
      <c r="B173" s="5"/>
      <c r="C173" s="6"/>
      <c r="D173" s="7"/>
      <c r="E173" s="8"/>
      <c r="F173" s="8"/>
      <c r="G173" s="8"/>
      <c r="H173" s="9"/>
      <c r="I173" s="9"/>
      <c r="J173" s="9"/>
      <c r="K173" s="8"/>
      <c r="L173" s="5"/>
    </row>
    <row r="174" spans="1:12" ht="18.600000000000001" customHeight="1" x14ac:dyDescent="0.25">
      <c r="A174" s="5"/>
      <c r="B174" s="5"/>
      <c r="C174" s="6"/>
      <c r="D174" s="7"/>
      <c r="E174" s="8"/>
      <c r="F174" s="8"/>
      <c r="G174" s="8"/>
      <c r="H174" s="9"/>
      <c r="I174" s="9"/>
      <c r="J174" s="9"/>
      <c r="K174" s="8"/>
      <c r="L174" s="5"/>
    </row>
    <row r="175" spans="1:12" ht="18.600000000000001" customHeight="1" x14ac:dyDescent="0.25">
      <c r="A175" s="5"/>
      <c r="B175" s="5"/>
      <c r="C175" s="6"/>
      <c r="D175" s="7"/>
      <c r="E175" s="8"/>
      <c r="F175" s="8"/>
      <c r="G175" s="8"/>
      <c r="H175" s="9"/>
      <c r="I175" s="9"/>
      <c r="J175" s="9"/>
      <c r="K175" s="8"/>
      <c r="L175" s="5"/>
    </row>
    <row r="176" spans="1:12" ht="18.600000000000001" customHeight="1" x14ac:dyDescent="0.25">
      <c r="A176" s="5"/>
      <c r="B176" s="5"/>
      <c r="C176" s="6"/>
      <c r="D176" s="7"/>
      <c r="E176" s="8"/>
      <c r="F176" s="8"/>
      <c r="G176" s="8"/>
      <c r="H176" s="9"/>
      <c r="I176" s="9"/>
      <c r="J176" s="9"/>
      <c r="K176" s="8"/>
      <c r="L176" s="5"/>
    </row>
    <row r="177" spans="1:12" ht="18.600000000000001" customHeight="1" x14ac:dyDescent="0.25">
      <c r="A177" s="5"/>
      <c r="B177" s="5"/>
      <c r="C177" s="6"/>
      <c r="D177" s="7"/>
      <c r="E177" s="8"/>
      <c r="F177" s="8"/>
      <c r="G177" s="8"/>
      <c r="H177" s="9"/>
      <c r="I177" s="9"/>
      <c r="J177" s="9"/>
      <c r="K177" s="8"/>
      <c r="L177" s="5"/>
    </row>
    <row r="178" spans="1:12" ht="18.600000000000001" customHeight="1" x14ac:dyDescent="0.25">
      <c r="A178" s="5"/>
      <c r="B178" s="5"/>
      <c r="C178" s="6"/>
      <c r="D178" s="7"/>
      <c r="E178" s="8"/>
      <c r="F178" s="8"/>
      <c r="G178" s="8"/>
      <c r="H178" s="9"/>
      <c r="I178" s="9"/>
      <c r="J178" s="9"/>
      <c r="K178" s="8"/>
      <c r="L178" s="5"/>
    </row>
    <row r="179" spans="1:12" ht="18.600000000000001" customHeight="1" x14ac:dyDescent="0.25">
      <c r="A179" s="5"/>
      <c r="B179" s="5"/>
      <c r="C179" s="6"/>
      <c r="D179" s="7"/>
      <c r="E179" s="8"/>
      <c r="F179" s="8"/>
      <c r="G179" s="8"/>
      <c r="H179" s="9"/>
      <c r="I179" s="9"/>
      <c r="J179" s="9"/>
      <c r="K179" s="8"/>
      <c r="L179" s="5"/>
    </row>
    <row r="180" spans="1:12" ht="18.600000000000001" customHeight="1" x14ac:dyDescent="0.25">
      <c r="A180" s="5"/>
      <c r="B180" s="5"/>
      <c r="C180" s="6"/>
      <c r="D180" s="7"/>
      <c r="E180" s="8"/>
      <c r="F180" s="8"/>
      <c r="G180" s="8"/>
      <c r="H180" s="9"/>
      <c r="I180" s="9"/>
      <c r="J180" s="9"/>
      <c r="K180" s="8"/>
      <c r="L180" s="5"/>
    </row>
    <row r="181" spans="1:12" ht="18.600000000000001" customHeight="1" x14ac:dyDescent="0.25">
      <c r="A181" s="5"/>
      <c r="B181" s="5"/>
      <c r="C181" s="6"/>
      <c r="D181" s="7"/>
      <c r="E181" s="8"/>
      <c r="F181" s="8"/>
      <c r="G181" s="8"/>
      <c r="H181" s="9"/>
      <c r="I181" s="9"/>
      <c r="J181" s="9"/>
      <c r="K181" s="8"/>
      <c r="L181" s="5"/>
    </row>
    <row r="182" spans="1:12" ht="18.600000000000001" customHeight="1" x14ac:dyDescent="0.25">
      <c r="A182" s="5"/>
      <c r="B182" s="5"/>
      <c r="C182" s="6"/>
      <c r="D182" s="7"/>
      <c r="E182" s="8"/>
      <c r="F182" s="8"/>
      <c r="G182" s="8"/>
      <c r="H182" s="9"/>
      <c r="I182" s="9"/>
      <c r="J182" s="9"/>
      <c r="K182" s="8"/>
      <c r="L182" s="5"/>
    </row>
    <row r="183" spans="1:12" ht="18.600000000000001" customHeight="1" x14ac:dyDescent="0.25">
      <c r="A183" s="5"/>
      <c r="B183" s="5"/>
      <c r="C183" s="6"/>
      <c r="D183" s="7"/>
      <c r="E183" s="8"/>
      <c r="F183" s="8"/>
      <c r="G183" s="8"/>
      <c r="H183" s="9"/>
      <c r="I183" s="9"/>
      <c r="J183" s="9"/>
      <c r="K183" s="8"/>
      <c r="L183" s="5"/>
    </row>
    <row r="184" spans="1:12" ht="18.600000000000001" customHeight="1" x14ac:dyDescent="0.25">
      <c r="A184" s="5"/>
      <c r="B184" s="5"/>
      <c r="C184" s="6"/>
      <c r="D184" s="7"/>
      <c r="E184" s="8"/>
      <c r="F184" s="8"/>
      <c r="G184" s="8"/>
      <c r="H184" s="9"/>
      <c r="I184" s="9"/>
      <c r="J184" s="9"/>
      <c r="K184" s="8"/>
      <c r="L184" s="5"/>
    </row>
    <row r="185" spans="1:12" ht="18.600000000000001" customHeight="1" x14ac:dyDescent="0.25">
      <c r="A185" s="5"/>
      <c r="B185" s="5"/>
      <c r="C185" s="6"/>
      <c r="D185" s="7"/>
      <c r="E185" s="8"/>
      <c r="F185" s="8"/>
      <c r="G185" s="8"/>
      <c r="H185" s="9"/>
      <c r="I185" s="9"/>
      <c r="J185" s="9"/>
      <c r="K185" s="8"/>
      <c r="L185" s="5"/>
    </row>
    <row r="186" spans="1:12" ht="18.600000000000001" customHeight="1" x14ac:dyDescent="0.25">
      <c r="A186" s="5"/>
      <c r="B186" s="5"/>
      <c r="C186" s="6"/>
      <c r="D186" s="7"/>
      <c r="E186" s="8"/>
      <c r="F186" s="8"/>
      <c r="G186" s="8"/>
      <c r="H186" s="9"/>
      <c r="I186" s="9"/>
      <c r="J186" s="9"/>
      <c r="K186" s="8"/>
      <c r="L186" s="5"/>
    </row>
    <row r="187" spans="1:12" ht="18.600000000000001" customHeight="1" x14ac:dyDescent="0.25">
      <c r="A187" s="5"/>
      <c r="B187" s="5"/>
      <c r="C187" s="6"/>
      <c r="D187" s="7"/>
      <c r="E187" s="8"/>
      <c r="F187" s="8"/>
      <c r="G187" s="8"/>
      <c r="H187" s="9"/>
      <c r="I187" s="9"/>
      <c r="J187" s="9"/>
      <c r="K187" s="8"/>
      <c r="L187" s="5"/>
    </row>
    <row r="188" spans="1:12" ht="18.600000000000001" customHeight="1" x14ac:dyDescent="0.25">
      <c r="A188" s="5"/>
      <c r="B188" s="5"/>
      <c r="C188" s="6"/>
      <c r="D188" s="7"/>
      <c r="E188" s="8"/>
      <c r="F188" s="8"/>
      <c r="G188" s="8"/>
      <c r="H188" s="9"/>
      <c r="I188" s="9"/>
      <c r="J188" s="9"/>
      <c r="K188" s="8"/>
      <c r="L188" s="5"/>
    </row>
    <row r="189" spans="1:12" ht="18.600000000000001" customHeight="1" x14ac:dyDescent="0.25">
      <c r="A189" s="5"/>
      <c r="B189" s="5"/>
      <c r="C189" s="6"/>
      <c r="D189" s="7"/>
      <c r="E189" s="8"/>
      <c r="F189" s="8"/>
      <c r="G189" s="8"/>
      <c r="H189" s="9"/>
      <c r="I189" s="9"/>
      <c r="J189" s="9"/>
      <c r="K189" s="8"/>
      <c r="L189" s="5"/>
    </row>
    <row r="190" spans="1:12" ht="18.600000000000001" customHeight="1" x14ac:dyDescent="0.25">
      <c r="A190" s="5"/>
      <c r="B190" s="5"/>
      <c r="C190" s="6"/>
      <c r="D190" s="7"/>
      <c r="E190" s="8"/>
      <c r="F190" s="8"/>
      <c r="G190" s="8"/>
      <c r="H190" s="9"/>
      <c r="I190" s="9"/>
      <c r="J190" s="9"/>
      <c r="K190" s="8"/>
      <c r="L190" s="5"/>
    </row>
    <row r="191" spans="1:12" ht="18.600000000000001" customHeight="1" x14ac:dyDescent="0.25">
      <c r="A191" s="5"/>
      <c r="B191" s="5"/>
      <c r="C191" s="6"/>
      <c r="D191" s="7"/>
      <c r="E191" s="8"/>
      <c r="F191" s="8"/>
      <c r="G191" s="8"/>
      <c r="H191" s="9"/>
      <c r="I191" s="9"/>
      <c r="J191" s="9"/>
      <c r="K191" s="8"/>
      <c r="L191" s="5"/>
    </row>
    <row r="192" spans="1:12" ht="18.600000000000001" customHeight="1" x14ac:dyDescent="0.25">
      <c r="A192" s="5"/>
      <c r="B192" s="5"/>
      <c r="C192" s="6"/>
      <c r="D192" s="7"/>
      <c r="E192" s="8"/>
      <c r="F192" s="8"/>
      <c r="G192" s="8"/>
      <c r="H192" s="9"/>
      <c r="I192" s="9"/>
      <c r="J192" s="9"/>
      <c r="K192" s="8"/>
      <c r="L192" s="5"/>
    </row>
    <row r="193" spans="1:12" ht="18.600000000000001" customHeight="1" x14ac:dyDescent="0.25">
      <c r="A193" s="5"/>
      <c r="B193" s="5"/>
      <c r="C193" s="6"/>
      <c r="D193" s="7"/>
      <c r="E193" s="8"/>
      <c r="F193" s="8"/>
      <c r="G193" s="8"/>
      <c r="H193" s="9"/>
      <c r="I193" s="9"/>
      <c r="J193" s="9"/>
      <c r="K193" s="8"/>
      <c r="L193" s="5"/>
    </row>
    <row r="194" spans="1:12" ht="18.600000000000001" customHeight="1" x14ac:dyDescent="0.25">
      <c r="A194" s="5"/>
      <c r="B194" s="5"/>
      <c r="C194" s="6"/>
      <c r="D194" s="7"/>
      <c r="E194" s="8"/>
      <c r="F194" s="8"/>
      <c r="G194" s="8"/>
      <c r="H194" s="9"/>
      <c r="I194" s="9"/>
      <c r="J194" s="9"/>
      <c r="K194" s="8"/>
      <c r="L194" s="5"/>
    </row>
    <row r="195" spans="1:12" ht="18.600000000000001" customHeight="1" x14ac:dyDescent="0.25">
      <c r="A195" s="5"/>
      <c r="B195" s="5"/>
      <c r="C195" s="6"/>
      <c r="D195" s="7"/>
      <c r="E195" s="8"/>
      <c r="F195" s="8"/>
      <c r="G195" s="8"/>
      <c r="H195" s="9"/>
      <c r="I195" s="9"/>
      <c r="J195" s="9"/>
      <c r="K195" s="8"/>
      <c r="L195" s="5"/>
    </row>
    <row r="196" spans="1:12" ht="18.600000000000001" customHeight="1" x14ac:dyDescent="0.25">
      <c r="A196" s="5"/>
      <c r="B196" s="5"/>
      <c r="C196" s="6"/>
      <c r="D196" s="7"/>
      <c r="E196" s="8"/>
      <c r="F196" s="8"/>
      <c r="G196" s="8"/>
      <c r="H196" s="9"/>
      <c r="I196" s="9"/>
      <c r="J196" s="9"/>
      <c r="K196" s="8"/>
      <c r="L196" s="5"/>
    </row>
    <row r="197" spans="1:12" ht="18.600000000000001" customHeight="1" x14ac:dyDescent="0.25">
      <c r="A197" s="5"/>
      <c r="B197" s="5"/>
      <c r="C197" s="6"/>
      <c r="D197" s="7"/>
      <c r="E197" s="8"/>
      <c r="F197" s="8"/>
      <c r="G197" s="8"/>
      <c r="H197" s="9"/>
      <c r="I197" s="9"/>
      <c r="J197" s="9"/>
      <c r="K197" s="8"/>
      <c r="L197" s="5"/>
    </row>
    <row r="198" spans="1:12" ht="18.600000000000001" customHeight="1" x14ac:dyDescent="0.25">
      <c r="A198" s="5"/>
      <c r="B198" s="5"/>
      <c r="C198" s="6"/>
      <c r="D198" s="7"/>
      <c r="E198" s="8"/>
      <c r="F198" s="8"/>
      <c r="G198" s="8"/>
      <c r="H198" s="9"/>
      <c r="I198" s="9"/>
      <c r="J198" s="9"/>
      <c r="K198" s="8"/>
      <c r="L198" s="5"/>
    </row>
    <row r="199" spans="1:12" ht="18.600000000000001" customHeight="1" x14ac:dyDescent="0.25">
      <c r="A199" s="5"/>
      <c r="B199" s="5"/>
      <c r="C199" s="6"/>
      <c r="D199" s="7"/>
      <c r="E199" s="8"/>
      <c r="F199" s="8"/>
      <c r="G199" s="8"/>
      <c r="H199" s="9"/>
      <c r="I199" s="9"/>
      <c r="J199" s="9"/>
      <c r="K199" s="8"/>
      <c r="L199" s="5"/>
    </row>
    <row r="200" spans="1:12" ht="18.600000000000001" customHeight="1" x14ac:dyDescent="0.25">
      <c r="A200" s="5"/>
      <c r="B200" s="5"/>
      <c r="C200" s="6"/>
      <c r="D200" s="7"/>
      <c r="E200" s="8"/>
      <c r="F200" s="8"/>
      <c r="G200" s="8"/>
      <c r="H200" s="9"/>
      <c r="I200" s="9"/>
      <c r="J200" s="9"/>
      <c r="K200" s="8"/>
      <c r="L200" s="5"/>
    </row>
    <row r="201" spans="1:12" ht="18.600000000000001" customHeight="1" x14ac:dyDescent="0.25">
      <c r="A201" s="5"/>
      <c r="B201" s="5"/>
      <c r="C201" s="6"/>
      <c r="D201" s="7"/>
      <c r="E201" s="8"/>
      <c r="F201" s="8"/>
      <c r="G201" s="8"/>
      <c r="H201" s="9"/>
      <c r="I201" s="9"/>
      <c r="J201" s="9"/>
      <c r="K201" s="8"/>
      <c r="L201" s="5"/>
    </row>
    <row r="202" spans="1:12" ht="18.600000000000001" customHeight="1" x14ac:dyDescent="0.25">
      <c r="A202" s="5"/>
      <c r="B202" s="5"/>
      <c r="C202" s="6"/>
      <c r="D202" s="7"/>
      <c r="E202" s="8"/>
      <c r="F202" s="8"/>
      <c r="G202" s="8"/>
      <c r="H202" s="9"/>
      <c r="I202" s="9"/>
      <c r="J202" s="9"/>
      <c r="K202" s="8"/>
      <c r="L202" s="5"/>
    </row>
    <row r="203" spans="1:12" ht="18.600000000000001" customHeight="1" x14ac:dyDescent="0.25">
      <c r="A203" s="5"/>
      <c r="B203" s="5"/>
      <c r="C203" s="6"/>
      <c r="D203" s="7"/>
      <c r="E203" s="8"/>
      <c r="F203" s="8"/>
      <c r="G203" s="8"/>
      <c r="H203" s="9"/>
      <c r="I203" s="9"/>
      <c r="J203" s="9"/>
      <c r="K203" s="8"/>
      <c r="L203" s="5"/>
    </row>
    <row r="204" spans="1:12" ht="18.600000000000001" customHeight="1" x14ac:dyDescent="0.25">
      <c r="A204" s="5"/>
      <c r="B204" s="5"/>
      <c r="C204" s="6"/>
      <c r="D204" s="7"/>
      <c r="E204" s="8"/>
      <c r="F204" s="8"/>
      <c r="G204" s="8"/>
      <c r="H204" s="9"/>
      <c r="I204" s="9"/>
      <c r="J204" s="9"/>
      <c r="K204" s="8"/>
      <c r="L204" s="5"/>
    </row>
    <row r="205" spans="1:12" ht="18.600000000000001" customHeight="1" x14ac:dyDescent="0.25">
      <c r="A205" s="5"/>
      <c r="B205" s="5"/>
      <c r="C205" s="6"/>
      <c r="D205" s="7"/>
      <c r="E205" s="8"/>
      <c r="F205" s="8"/>
      <c r="G205" s="8"/>
      <c r="H205" s="9"/>
      <c r="I205" s="9"/>
      <c r="J205" s="9"/>
      <c r="K205" s="8"/>
      <c r="L205" s="5"/>
    </row>
    <row r="206" spans="1:12" ht="18.600000000000001" customHeight="1" x14ac:dyDescent="0.25">
      <c r="A206" s="5"/>
      <c r="B206" s="5"/>
      <c r="C206" s="6"/>
      <c r="D206" s="7"/>
      <c r="E206" s="8"/>
      <c r="F206" s="8"/>
      <c r="G206" s="8"/>
      <c r="H206" s="9"/>
      <c r="I206" s="9"/>
      <c r="J206" s="9"/>
      <c r="K206" s="8"/>
      <c r="L206" s="5"/>
    </row>
    <row r="207" spans="1:12" ht="18.600000000000001" customHeight="1" x14ac:dyDescent="0.25">
      <c r="A207" s="5"/>
      <c r="B207" s="5"/>
      <c r="C207" s="6"/>
      <c r="D207" s="7"/>
      <c r="E207" s="8"/>
      <c r="F207" s="8"/>
      <c r="G207" s="8"/>
      <c r="H207" s="9"/>
      <c r="I207" s="9"/>
      <c r="J207" s="9"/>
      <c r="K207" s="8"/>
      <c r="L207" s="5"/>
    </row>
    <row r="208" spans="1:12" ht="18.600000000000001" customHeight="1" x14ac:dyDescent="0.25">
      <c r="A208" s="5"/>
      <c r="B208" s="5"/>
      <c r="C208" s="6"/>
      <c r="D208" s="7"/>
      <c r="E208" s="8"/>
      <c r="F208" s="8"/>
      <c r="G208" s="8"/>
      <c r="H208" s="9"/>
      <c r="I208" s="9"/>
      <c r="J208" s="9"/>
      <c r="K208" s="8"/>
      <c r="L208" s="5"/>
    </row>
    <row r="209" spans="1:12" ht="18.600000000000001" customHeight="1" x14ac:dyDescent="0.25">
      <c r="A209" s="5"/>
      <c r="B209" s="5"/>
      <c r="C209" s="6"/>
      <c r="D209" s="7"/>
      <c r="E209" s="8"/>
      <c r="F209" s="8"/>
      <c r="G209" s="8"/>
      <c r="H209" s="9"/>
      <c r="I209" s="9"/>
      <c r="J209" s="9"/>
      <c r="K209" s="8"/>
      <c r="L209" s="5"/>
    </row>
    <row r="210" spans="1:12" ht="18.600000000000001" customHeight="1" x14ac:dyDescent="0.25">
      <c r="A210" s="5"/>
      <c r="B210" s="5"/>
      <c r="C210" s="6"/>
      <c r="D210" s="7"/>
      <c r="E210" s="8"/>
      <c r="F210" s="8"/>
      <c r="G210" s="8"/>
      <c r="H210" s="9"/>
      <c r="I210" s="9"/>
      <c r="J210" s="9"/>
      <c r="K210" s="8"/>
      <c r="L210" s="5"/>
    </row>
    <row r="211" spans="1:12" ht="18.600000000000001" customHeight="1" x14ac:dyDescent="0.25">
      <c r="A211" s="5"/>
      <c r="B211" s="5"/>
      <c r="C211" s="6"/>
      <c r="D211" s="7"/>
      <c r="E211" s="8"/>
      <c r="F211" s="8"/>
      <c r="G211" s="8"/>
      <c r="H211" s="9"/>
      <c r="I211" s="9"/>
      <c r="J211" s="9"/>
      <c r="K211" s="8"/>
      <c r="L211" s="5"/>
    </row>
    <row r="212" spans="1:12" ht="18.600000000000001" customHeight="1" x14ac:dyDescent="0.25">
      <c r="A212" s="5"/>
      <c r="B212" s="5"/>
      <c r="C212" s="6"/>
      <c r="D212" s="7"/>
      <c r="E212" s="8"/>
      <c r="F212" s="8"/>
      <c r="G212" s="8"/>
      <c r="H212" s="9"/>
      <c r="I212" s="9"/>
      <c r="J212" s="9"/>
      <c r="K212" s="8"/>
      <c r="L212" s="5"/>
    </row>
    <row r="213" spans="1:12" ht="18.600000000000001" customHeight="1" x14ac:dyDescent="0.25">
      <c r="A213" s="5"/>
      <c r="B213" s="5"/>
      <c r="C213" s="6"/>
      <c r="D213" s="7"/>
      <c r="E213" s="8"/>
      <c r="F213" s="8"/>
      <c r="G213" s="8"/>
      <c r="H213" s="9"/>
      <c r="I213" s="9"/>
      <c r="J213" s="9"/>
      <c r="K213" s="8"/>
      <c r="L213" s="5"/>
    </row>
    <row r="214" spans="1:12" ht="18.600000000000001" customHeight="1" x14ac:dyDescent="0.25">
      <c r="A214" s="5"/>
      <c r="B214" s="5"/>
      <c r="C214" s="6"/>
      <c r="D214" s="7"/>
      <c r="E214" s="8"/>
      <c r="F214" s="8"/>
      <c r="G214" s="8"/>
      <c r="H214" s="9"/>
      <c r="I214" s="9"/>
      <c r="J214" s="9"/>
      <c r="K214" s="8"/>
      <c r="L214" s="5"/>
    </row>
    <row r="215" spans="1:12" ht="18.600000000000001" customHeight="1" x14ac:dyDescent="0.25">
      <c r="A215" s="5"/>
      <c r="B215" s="5"/>
      <c r="C215" s="6"/>
      <c r="D215" s="7"/>
      <c r="E215" s="8"/>
      <c r="F215" s="8"/>
      <c r="G215" s="8"/>
      <c r="H215" s="9"/>
      <c r="I215" s="9"/>
      <c r="J215" s="9"/>
      <c r="K215" s="8"/>
      <c r="L215" s="5"/>
    </row>
    <row r="216" spans="1:12" ht="18.600000000000001" customHeight="1" x14ac:dyDescent="0.25">
      <c r="A216" s="5"/>
      <c r="B216" s="5"/>
      <c r="C216" s="6"/>
      <c r="D216" s="7"/>
      <c r="E216" s="8"/>
      <c r="F216" s="8"/>
      <c r="G216" s="8"/>
      <c r="H216" s="9"/>
      <c r="I216" s="9"/>
      <c r="J216" s="9"/>
      <c r="K216" s="8"/>
      <c r="L216" s="5"/>
    </row>
    <row r="217" spans="1:12" ht="18.600000000000001" customHeight="1" x14ac:dyDescent="0.25">
      <c r="A217" s="5"/>
      <c r="B217" s="5"/>
      <c r="C217" s="6"/>
      <c r="D217" s="7"/>
      <c r="E217" s="8"/>
      <c r="F217" s="8"/>
      <c r="G217" s="8"/>
      <c r="H217" s="9"/>
      <c r="I217" s="9"/>
      <c r="J217" s="9"/>
      <c r="K217" s="8"/>
      <c r="L217" s="5"/>
    </row>
    <row r="218" spans="1:12" ht="18.600000000000001" customHeight="1" x14ac:dyDescent="0.25">
      <c r="A218" s="5"/>
      <c r="B218" s="5"/>
      <c r="C218" s="6"/>
      <c r="D218" s="7"/>
      <c r="E218" s="8"/>
      <c r="F218" s="8"/>
      <c r="G218" s="8"/>
      <c r="H218" s="9"/>
      <c r="I218" s="9"/>
      <c r="J218" s="9"/>
      <c r="K218" s="8"/>
      <c r="L218" s="5"/>
    </row>
    <row r="219" spans="1:12" ht="18.600000000000001" customHeight="1" x14ac:dyDescent="0.25">
      <c r="A219" s="5"/>
      <c r="B219" s="5"/>
      <c r="C219" s="6"/>
      <c r="D219" s="7"/>
      <c r="E219" s="8"/>
      <c r="F219" s="8"/>
      <c r="G219" s="8"/>
      <c r="H219" s="9"/>
      <c r="I219" s="9"/>
      <c r="J219" s="9"/>
      <c r="K219" s="8"/>
      <c r="L219" s="5"/>
    </row>
    <row r="220" spans="1:12" ht="18.600000000000001" customHeight="1" x14ac:dyDescent="0.25">
      <c r="A220" s="5"/>
      <c r="B220" s="5"/>
      <c r="C220" s="6"/>
      <c r="D220" s="7"/>
      <c r="E220" s="8"/>
      <c r="F220" s="8"/>
      <c r="G220" s="8"/>
      <c r="H220" s="9"/>
      <c r="I220" s="9"/>
      <c r="J220" s="9"/>
      <c r="K220" s="8"/>
      <c r="L220" s="5"/>
    </row>
    <row r="221" spans="1:12" ht="18.600000000000001" customHeight="1" x14ac:dyDescent="0.25">
      <c r="A221" s="5"/>
      <c r="B221" s="5"/>
      <c r="C221" s="6"/>
      <c r="D221" s="7"/>
      <c r="E221" s="8"/>
      <c r="F221" s="8"/>
      <c r="G221" s="8"/>
      <c r="H221" s="9"/>
      <c r="I221" s="9"/>
      <c r="J221" s="9"/>
      <c r="K221" s="8"/>
      <c r="L221" s="5"/>
    </row>
    <row r="222" spans="1:12" ht="18.600000000000001" customHeight="1" x14ac:dyDescent="0.25">
      <c r="A222" s="5"/>
      <c r="B222" s="5"/>
      <c r="C222" s="6"/>
      <c r="D222" s="7"/>
      <c r="E222" s="8"/>
      <c r="F222" s="8"/>
      <c r="G222" s="8"/>
      <c r="H222" s="9"/>
      <c r="I222" s="9"/>
      <c r="J222" s="9"/>
      <c r="K222" s="8"/>
      <c r="L222" s="5"/>
    </row>
    <row r="223" spans="1:12" ht="18.600000000000001" customHeight="1" x14ac:dyDescent="0.25">
      <c r="A223" s="5"/>
      <c r="B223" s="5"/>
      <c r="C223" s="6"/>
      <c r="D223" s="7"/>
      <c r="E223" s="8"/>
      <c r="F223" s="8"/>
      <c r="G223" s="8"/>
      <c r="H223" s="9"/>
      <c r="I223" s="9"/>
      <c r="J223" s="9"/>
      <c r="K223" s="8"/>
      <c r="L223" s="5"/>
    </row>
    <row r="224" spans="1:12" ht="18.600000000000001" customHeight="1" x14ac:dyDescent="0.25">
      <c r="A224" s="5"/>
      <c r="B224" s="5"/>
      <c r="C224" s="6"/>
      <c r="D224" s="7"/>
      <c r="E224" s="8"/>
      <c r="F224" s="8"/>
      <c r="G224" s="8"/>
      <c r="H224" s="9"/>
      <c r="I224" s="9"/>
      <c r="J224" s="9"/>
      <c r="K224" s="8"/>
      <c r="L224" s="5"/>
    </row>
    <row r="225" spans="1:12" ht="18.600000000000001" customHeight="1" x14ac:dyDescent="0.25">
      <c r="A225" s="5"/>
      <c r="B225" s="5"/>
      <c r="C225" s="6"/>
      <c r="D225" s="7"/>
      <c r="E225" s="8"/>
      <c r="F225" s="8"/>
      <c r="G225" s="8"/>
      <c r="H225" s="9"/>
      <c r="I225" s="9"/>
      <c r="J225" s="9"/>
      <c r="K225" s="8"/>
      <c r="L225" s="5"/>
    </row>
    <row r="226" spans="1:12" ht="18.600000000000001" customHeight="1" x14ac:dyDescent="0.25">
      <c r="A226" s="5"/>
      <c r="B226" s="5"/>
      <c r="C226" s="6"/>
      <c r="D226" s="7"/>
      <c r="E226" s="8"/>
      <c r="F226" s="8"/>
      <c r="G226" s="8"/>
      <c r="H226" s="9"/>
      <c r="I226" s="9"/>
      <c r="J226" s="9"/>
      <c r="K226" s="8"/>
      <c r="L226" s="5"/>
    </row>
    <row r="227" spans="1:12" ht="18.600000000000001" customHeight="1" x14ac:dyDescent="0.25">
      <c r="A227" s="5"/>
      <c r="B227" s="5"/>
      <c r="C227" s="6"/>
      <c r="D227" s="7"/>
      <c r="E227" s="8"/>
      <c r="F227" s="8"/>
      <c r="G227" s="8"/>
      <c r="H227" s="9"/>
      <c r="I227" s="9"/>
      <c r="J227" s="9"/>
      <c r="K227" s="8"/>
      <c r="L227" s="5"/>
    </row>
    <row r="228" spans="1:12" ht="18.600000000000001" customHeight="1" x14ac:dyDescent="0.25">
      <c r="A228" s="5"/>
      <c r="B228" s="5"/>
      <c r="C228" s="6"/>
      <c r="D228" s="7"/>
      <c r="E228" s="8"/>
      <c r="F228" s="8"/>
      <c r="G228" s="8"/>
      <c r="H228" s="9"/>
      <c r="I228" s="9"/>
      <c r="J228" s="9"/>
      <c r="K228" s="8"/>
      <c r="L228" s="5"/>
    </row>
    <row r="229" spans="1:12" ht="18.600000000000001" customHeight="1" x14ac:dyDescent="0.25">
      <c r="A229" s="5"/>
      <c r="B229" s="5"/>
      <c r="C229" s="6"/>
      <c r="D229" s="7"/>
      <c r="E229" s="8"/>
      <c r="F229" s="8"/>
      <c r="G229" s="8"/>
      <c r="H229" s="9"/>
      <c r="I229" s="9"/>
      <c r="J229" s="9"/>
      <c r="K229" s="8"/>
      <c r="L229" s="5"/>
    </row>
    <row r="230" spans="1:12" ht="18.600000000000001" customHeight="1" x14ac:dyDescent="0.25">
      <c r="A230" s="5"/>
      <c r="B230" s="5"/>
      <c r="C230" s="6"/>
      <c r="D230" s="7"/>
      <c r="E230" s="8"/>
      <c r="F230" s="8"/>
      <c r="G230" s="8"/>
      <c r="H230" s="9"/>
      <c r="I230" s="9"/>
      <c r="J230" s="9"/>
      <c r="K230" s="8"/>
      <c r="L230" s="5"/>
    </row>
    <row r="231" spans="1:12" ht="18.600000000000001" customHeight="1" x14ac:dyDescent="0.25">
      <c r="A231" s="5"/>
      <c r="B231" s="5"/>
      <c r="C231" s="6"/>
      <c r="D231" s="7"/>
      <c r="E231" s="8"/>
      <c r="F231" s="8"/>
      <c r="G231" s="8"/>
      <c r="H231" s="9"/>
      <c r="I231" s="9"/>
      <c r="J231" s="9"/>
      <c r="K231" s="8"/>
      <c r="L231" s="5"/>
    </row>
    <row r="232" spans="1:12" ht="18.600000000000001" customHeight="1" x14ac:dyDescent="0.25">
      <c r="A232" s="5"/>
      <c r="B232" s="5"/>
      <c r="C232" s="6"/>
      <c r="D232" s="7"/>
      <c r="E232" s="8"/>
      <c r="F232" s="8"/>
      <c r="G232" s="8"/>
      <c r="H232" s="9"/>
      <c r="I232" s="9"/>
      <c r="J232" s="9"/>
      <c r="K232" s="8"/>
      <c r="L232" s="5"/>
    </row>
    <row r="233" spans="1:12" ht="18.600000000000001" customHeight="1" x14ac:dyDescent="0.25">
      <c r="A233" s="5"/>
      <c r="B233" s="5"/>
      <c r="C233" s="6"/>
      <c r="D233" s="7"/>
      <c r="E233" s="8"/>
      <c r="F233" s="8"/>
      <c r="G233" s="8"/>
      <c r="H233" s="9"/>
      <c r="I233" s="9"/>
      <c r="J233" s="9"/>
      <c r="K233" s="8"/>
      <c r="L233" s="5"/>
    </row>
    <row r="234" spans="1:12" ht="18.600000000000001" customHeight="1" x14ac:dyDescent="0.25">
      <c r="A234" s="5"/>
      <c r="B234" s="5"/>
      <c r="C234" s="6"/>
      <c r="D234" s="7"/>
      <c r="E234" s="8"/>
      <c r="F234" s="8"/>
      <c r="G234" s="8"/>
      <c r="H234" s="9"/>
      <c r="I234" s="9"/>
      <c r="J234" s="9"/>
      <c r="K234" s="8"/>
      <c r="L234" s="5"/>
    </row>
    <row r="235" spans="1:12" ht="18.600000000000001" customHeight="1" x14ac:dyDescent="0.25">
      <c r="A235" s="5"/>
      <c r="B235" s="5"/>
      <c r="C235" s="6"/>
      <c r="D235" s="7"/>
      <c r="E235" s="8"/>
      <c r="F235" s="8"/>
      <c r="G235" s="8"/>
      <c r="H235" s="9"/>
      <c r="I235" s="9"/>
      <c r="J235" s="9"/>
      <c r="K235" s="8"/>
      <c r="L235" s="5"/>
    </row>
    <row r="236" spans="1:12" ht="18.600000000000001" customHeight="1" x14ac:dyDescent="0.25">
      <c r="A236" s="5"/>
      <c r="B236" s="5"/>
      <c r="C236" s="6"/>
      <c r="D236" s="7"/>
      <c r="E236" s="8"/>
      <c r="F236" s="8"/>
      <c r="G236" s="8"/>
      <c r="H236" s="9"/>
      <c r="I236" s="9"/>
      <c r="J236" s="9"/>
      <c r="K236" s="8"/>
      <c r="L236" s="5"/>
    </row>
    <row r="237" spans="1:12" ht="18.600000000000001" customHeight="1" x14ac:dyDescent="0.25">
      <c r="A237" s="5"/>
      <c r="B237" s="5"/>
      <c r="C237" s="6"/>
      <c r="D237" s="7"/>
      <c r="E237" s="8"/>
      <c r="F237" s="8"/>
      <c r="G237" s="8"/>
      <c r="H237" s="9"/>
      <c r="I237" s="9"/>
      <c r="J237" s="9"/>
      <c r="K237" s="8"/>
      <c r="L237" s="5"/>
    </row>
    <row r="238" spans="1:12" ht="18.600000000000001" customHeight="1" x14ac:dyDescent="0.25">
      <c r="A238" s="5"/>
      <c r="B238" s="5"/>
      <c r="C238" s="6"/>
      <c r="D238" s="7"/>
      <c r="E238" s="8"/>
      <c r="F238" s="8"/>
      <c r="G238" s="8"/>
      <c r="H238" s="9"/>
      <c r="I238" s="9"/>
      <c r="J238" s="9"/>
      <c r="K238" s="8"/>
      <c r="L238" s="5"/>
    </row>
    <row r="239" spans="1:12" ht="18.600000000000001" customHeight="1" x14ac:dyDescent="0.25">
      <c r="A239" s="5"/>
      <c r="B239" s="5"/>
      <c r="C239" s="6"/>
      <c r="D239" s="7"/>
      <c r="E239" s="8"/>
      <c r="F239" s="8"/>
      <c r="G239" s="8"/>
      <c r="H239" s="9"/>
      <c r="I239" s="9"/>
      <c r="J239" s="9"/>
      <c r="K239" s="8"/>
      <c r="L239" s="5"/>
    </row>
    <row r="240" spans="1:12" ht="18.600000000000001" customHeight="1" x14ac:dyDescent="0.25">
      <c r="A240" s="5"/>
      <c r="B240" s="5"/>
      <c r="C240" s="6"/>
      <c r="D240" s="7"/>
      <c r="E240" s="8"/>
      <c r="F240" s="8"/>
      <c r="G240" s="8"/>
      <c r="H240" s="9"/>
      <c r="I240" s="9"/>
      <c r="J240" s="9"/>
      <c r="K240" s="8"/>
      <c r="L240" s="5"/>
    </row>
    <row r="241" spans="1:12" ht="18.600000000000001" customHeight="1" x14ac:dyDescent="0.25">
      <c r="A241" s="5"/>
      <c r="B241" s="5"/>
      <c r="C241" s="6"/>
      <c r="D241" s="7"/>
      <c r="E241" s="8"/>
      <c r="F241" s="8"/>
      <c r="G241" s="8"/>
      <c r="H241" s="9"/>
      <c r="I241" s="9"/>
      <c r="J241" s="9"/>
      <c r="K241" s="8"/>
      <c r="L241" s="5"/>
    </row>
    <row r="242" spans="1:12" ht="18.600000000000001" customHeight="1" x14ac:dyDescent="0.25">
      <c r="A242" s="5"/>
      <c r="B242" s="5"/>
      <c r="C242" s="6"/>
      <c r="D242" s="7"/>
      <c r="E242" s="8"/>
      <c r="F242" s="8"/>
      <c r="G242" s="8"/>
      <c r="H242" s="9"/>
      <c r="I242" s="9"/>
      <c r="J242" s="9"/>
      <c r="K242" s="8"/>
      <c r="L242" s="5"/>
    </row>
    <row r="243" spans="1:12" ht="18.600000000000001" customHeight="1" x14ac:dyDescent="0.25">
      <c r="A243" s="5"/>
      <c r="B243" s="5"/>
      <c r="C243" s="6"/>
      <c r="D243" s="7"/>
      <c r="E243" s="8"/>
      <c r="F243" s="8"/>
      <c r="G243" s="8"/>
      <c r="H243" s="9"/>
      <c r="I243" s="9"/>
      <c r="J243" s="9"/>
      <c r="K243" s="8"/>
      <c r="L243" s="5"/>
    </row>
    <row r="244" spans="1:12" ht="18.600000000000001" customHeight="1" x14ac:dyDescent="0.25">
      <c r="A244" s="5"/>
      <c r="B244" s="5"/>
      <c r="C244" s="6"/>
      <c r="D244" s="7"/>
      <c r="E244" s="8"/>
      <c r="F244" s="8"/>
      <c r="G244" s="8"/>
      <c r="H244" s="9"/>
      <c r="I244" s="9"/>
      <c r="J244" s="9"/>
      <c r="K244" s="8"/>
      <c r="L244" s="5"/>
    </row>
    <row r="245" spans="1:12" ht="18.600000000000001" customHeight="1" x14ac:dyDescent="0.25">
      <c r="A245" s="5"/>
      <c r="B245" s="5"/>
      <c r="C245" s="6"/>
      <c r="D245" s="7"/>
      <c r="E245" s="8"/>
      <c r="F245" s="8"/>
      <c r="G245" s="8"/>
      <c r="H245" s="9"/>
      <c r="I245" s="9"/>
      <c r="J245" s="9"/>
      <c r="K245" s="8"/>
      <c r="L245" s="5"/>
    </row>
    <row r="246" spans="1:12" ht="18.600000000000001" customHeight="1" x14ac:dyDescent="0.25">
      <c r="A246" s="5"/>
      <c r="B246" s="5"/>
      <c r="C246" s="6"/>
      <c r="D246" s="7"/>
      <c r="E246" s="8"/>
      <c r="F246" s="8"/>
      <c r="G246" s="8"/>
      <c r="H246" s="9"/>
      <c r="I246" s="9"/>
      <c r="J246" s="9"/>
      <c r="K246" s="8"/>
      <c r="L246" s="5"/>
    </row>
    <row r="247" spans="1:12" ht="18.600000000000001" customHeight="1" x14ac:dyDescent="0.25">
      <c r="A247" s="5"/>
      <c r="B247" s="5"/>
      <c r="C247" s="6"/>
      <c r="D247" s="7"/>
      <c r="E247" s="8"/>
      <c r="F247" s="8"/>
      <c r="G247" s="8"/>
      <c r="H247" s="9"/>
      <c r="I247" s="9"/>
      <c r="J247" s="9"/>
      <c r="K247" s="8"/>
      <c r="L247" s="5"/>
    </row>
    <row r="248" spans="1:12" ht="18.600000000000001" customHeight="1" x14ac:dyDescent="0.25">
      <c r="A248" s="5"/>
      <c r="B248" s="5"/>
      <c r="C248" s="6"/>
      <c r="D248" s="7"/>
      <c r="E248" s="8"/>
      <c r="F248" s="8"/>
      <c r="G248" s="8"/>
      <c r="H248" s="9"/>
      <c r="I248" s="9"/>
      <c r="J248" s="9"/>
      <c r="K248" s="8"/>
      <c r="L248" s="5"/>
    </row>
    <row r="249" spans="1:12" ht="18.600000000000001" customHeight="1" x14ac:dyDescent="0.25">
      <c r="A249" s="5"/>
      <c r="B249" s="5"/>
      <c r="C249" s="6"/>
      <c r="D249" s="7"/>
      <c r="E249" s="8"/>
      <c r="F249" s="8"/>
      <c r="G249" s="8"/>
      <c r="H249" s="9"/>
      <c r="I249" s="9"/>
      <c r="J249" s="9"/>
      <c r="K249" s="8"/>
      <c r="L249" s="5"/>
    </row>
    <row r="250" spans="1:12" ht="18.600000000000001" customHeight="1" x14ac:dyDescent="0.25">
      <c r="A250" s="5"/>
      <c r="B250" s="5"/>
      <c r="C250" s="6"/>
      <c r="D250" s="7"/>
      <c r="E250" s="8"/>
      <c r="F250" s="8"/>
      <c r="G250" s="8"/>
      <c r="H250" s="9"/>
      <c r="I250" s="9"/>
      <c r="J250" s="9"/>
      <c r="K250" s="8"/>
      <c r="L250" s="5"/>
    </row>
    <row r="251" spans="1:12" ht="18.600000000000001" customHeight="1" x14ac:dyDescent="0.25">
      <c r="A251" s="5"/>
      <c r="B251" s="5"/>
      <c r="C251" s="6"/>
      <c r="D251" s="7"/>
      <c r="E251" s="8"/>
      <c r="F251" s="8"/>
      <c r="G251" s="8"/>
      <c r="H251" s="9"/>
      <c r="I251" s="9"/>
      <c r="J251" s="9"/>
      <c r="K251" s="8"/>
      <c r="L251" s="5"/>
    </row>
    <row r="252" spans="1:12" ht="18.600000000000001" customHeight="1" x14ac:dyDescent="0.25">
      <c r="A252" s="5"/>
      <c r="B252" s="5"/>
      <c r="C252" s="6"/>
      <c r="D252" s="7"/>
      <c r="E252" s="8"/>
      <c r="F252" s="8"/>
      <c r="G252" s="8"/>
      <c r="H252" s="9"/>
      <c r="I252" s="9"/>
      <c r="J252" s="9"/>
      <c r="K252" s="8"/>
      <c r="L252" s="5"/>
    </row>
    <row r="253" spans="1:12" ht="18.600000000000001" customHeight="1" x14ac:dyDescent="0.25">
      <c r="A253" s="5"/>
      <c r="B253" s="5"/>
      <c r="C253" s="6"/>
      <c r="D253" s="7"/>
      <c r="E253" s="8"/>
      <c r="F253" s="8"/>
      <c r="G253" s="8"/>
      <c r="H253" s="9"/>
      <c r="I253" s="9"/>
      <c r="J253" s="9"/>
      <c r="K253" s="8"/>
      <c r="L253" s="5"/>
    </row>
    <row r="254" spans="1:12" ht="18.600000000000001" customHeight="1" x14ac:dyDescent="0.25">
      <c r="A254" s="5"/>
      <c r="B254" s="5"/>
      <c r="C254" s="6"/>
      <c r="D254" s="7"/>
      <c r="E254" s="8"/>
      <c r="F254" s="8"/>
      <c r="G254" s="8"/>
      <c r="H254" s="9"/>
      <c r="I254" s="9"/>
      <c r="J254" s="9"/>
      <c r="K254" s="8"/>
      <c r="L254" s="5"/>
    </row>
    <row r="255" spans="1:12" ht="18.600000000000001" customHeight="1" x14ac:dyDescent="0.25">
      <c r="A255" s="5"/>
      <c r="B255" s="5"/>
      <c r="C255" s="6"/>
      <c r="D255" s="7"/>
      <c r="E255" s="8"/>
      <c r="F255" s="8"/>
      <c r="G255" s="8"/>
      <c r="H255" s="9"/>
      <c r="I255" s="9"/>
      <c r="J255" s="9"/>
      <c r="K255" s="8"/>
      <c r="L255" s="5"/>
    </row>
    <row r="256" spans="1:12" ht="18.600000000000001" customHeight="1" x14ac:dyDescent="0.25">
      <c r="A256" s="5"/>
      <c r="B256" s="5"/>
      <c r="C256" s="6"/>
      <c r="D256" s="7"/>
      <c r="E256" s="8"/>
      <c r="F256" s="8"/>
      <c r="G256" s="8"/>
      <c r="H256" s="9"/>
      <c r="I256" s="9"/>
      <c r="J256" s="9"/>
      <c r="K256" s="8"/>
      <c r="L256" s="5"/>
    </row>
    <row r="257" spans="1:12" ht="18.600000000000001" customHeight="1" x14ac:dyDescent="0.25">
      <c r="A257" s="5"/>
      <c r="B257" s="5"/>
      <c r="C257" s="6"/>
      <c r="D257" s="7"/>
      <c r="E257" s="8"/>
      <c r="F257" s="8"/>
      <c r="G257" s="8"/>
      <c r="H257" s="9"/>
      <c r="I257" s="9"/>
      <c r="J257" s="9"/>
      <c r="K257" s="8"/>
      <c r="L257" s="5"/>
    </row>
    <row r="258" spans="1:12" ht="18.600000000000001" customHeight="1" x14ac:dyDescent="0.25">
      <c r="A258" s="5"/>
      <c r="B258" s="5"/>
      <c r="C258" s="6"/>
      <c r="D258" s="7"/>
      <c r="E258" s="8"/>
      <c r="F258" s="8"/>
      <c r="G258" s="8"/>
      <c r="H258" s="9"/>
      <c r="I258" s="9"/>
      <c r="J258" s="9"/>
      <c r="K258" s="8"/>
      <c r="L258" s="5"/>
    </row>
    <row r="259" spans="1:12" ht="18.600000000000001" customHeight="1" x14ac:dyDescent="0.25">
      <c r="A259" s="5"/>
      <c r="B259" s="5"/>
      <c r="C259" s="6"/>
      <c r="D259" s="7"/>
      <c r="E259" s="8"/>
      <c r="F259" s="8"/>
      <c r="G259" s="8"/>
      <c r="H259" s="9"/>
      <c r="I259" s="9"/>
      <c r="J259" s="9"/>
      <c r="K259" s="8"/>
      <c r="L259" s="5"/>
    </row>
    <row r="260" spans="1:12" ht="18.600000000000001" customHeight="1" x14ac:dyDescent="0.25">
      <c r="A260" s="5"/>
      <c r="B260" s="5"/>
      <c r="C260" s="6"/>
      <c r="D260" s="7"/>
      <c r="E260" s="8"/>
      <c r="F260" s="8"/>
      <c r="G260" s="8"/>
      <c r="H260" s="9"/>
      <c r="I260" s="9"/>
      <c r="J260" s="9"/>
      <c r="K260" s="8"/>
      <c r="L260" s="5"/>
    </row>
    <row r="261" spans="1:12" ht="18.600000000000001" customHeight="1" x14ac:dyDescent="0.25">
      <c r="A261" s="5"/>
      <c r="B261" s="5"/>
      <c r="C261" s="6"/>
      <c r="D261" s="7"/>
      <c r="E261" s="8"/>
      <c r="F261" s="8"/>
      <c r="G261" s="8"/>
      <c r="H261" s="9"/>
      <c r="I261" s="9"/>
      <c r="J261" s="9"/>
      <c r="K261" s="8"/>
      <c r="L261" s="5"/>
    </row>
    <row r="262" spans="1:12" ht="18.600000000000001" customHeight="1" x14ac:dyDescent="0.25">
      <c r="A262" s="5"/>
      <c r="B262" s="5"/>
      <c r="C262" s="6"/>
      <c r="D262" s="7"/>
      <c r="E262" s="8"/>
      <c r="F262" s="8"/>
      <c r="G262" s="8"/>
      <c r="H262" s="9"/>
      <c r="I262" s="9"/>
      <c r="J262" s="9"/>
      <c r="K262" s="8"/>
      <c r="L262" s="5"/>
    </row>
    <row r="263" spans="1:12" ht="18.600000000000001" customHeight="1" x14ac:dyDescent="0.25">
      <c r="A263" s="5"/>
      <c r="B263" s="5"/>
      <c r="C263" s="6"/>
      <c r="D263" s="7"/>
      <c r="E263" s="8"/>
      <c r="F263" s="8"/>
      <c r="G263" s="8"/>
      <c r="H263" s="9"/>
      <c r="I263" s="9"/>
      <c r="J263" s="9"/>
      <c r="K263" s="8"/>
      <c r="L263" s="5"/>
    </row>
    <row r="264" spans="1:12" ht="18.600000000000001" customHeight="1" x14ac:dyDescent="0.25">
      <c r="A264" s="5"/>
      <c r="B264" s="5"/>
      <c r="C264" s="6"/>
      <c r="D264" s="7"/>
      <c r="E264" s="8"/>
      <c r="F264" s="8"/>
      <c r="G264" s="8"/>
      <c r="H264" s="9"/>
      <c r="I264" s="9"/>
      <c r="J264" s="9"/>
      <c r="K264" s="8"/>
      <c r="L264" s="5"/>
    </row>
    <row r="265" spans="1:12" ht="18.600000000000001" customHeight="1" x14ac:dyDescent="0.25">
      <c r="A265" s="5"/>
      <c r="B265" s="5"/>
      <c r="C265" s="6"/>
      <c r="D265" s="7"/>
      <c r="E265" s="8"/>
      <c r="F265" s="8"/>
      <c r="G265" s="8"/>
      <c r="H265" s="9"/>
      <c r="I265" s="9"/>
      <c r="J265" s="9"/>
      <c r="K265" s="8"/>
      <c r="L265" s="5"/>
    </row>
    <row r="266" spans="1:12" ht="18.600000000000001" customHeight="1" x14ac:dyDescent="0.25">
      <c r="A266" s="5"/>
      <c r="B266" s="5"/>
      <c r="C266" s="6"/>
      <c r="D266" s="7"/>
      <c r="E266" s="8"/>
      <c r="F266" s="8"/>
      <c r="G266" s="8"/>
      <c r="H266" s="9"/>
      <c r="I266" s="9"/>
      <c r="J266" s="9"/>
      <c r="K266" s="8"/>
      <c r="L266" s="5"/>
    </row>
    <row r="267" spans="1:12" ht="18.600000000000001" customHeight="1" x14ac:dyDescent="0.25">
      <c r="A267" s="5"/>
      <c r="B267" s="5"/>
      <c r="C267" s="6"/>
      <c r="D267" s="7"/>
      <c r="E267" s="8"/>
      <c r="F267" s="8"/>
      <c r="G267" s="8"/>
      <c r="H267" s="9"/>
      <c r="I267" s="9"/>
      <c r="J267" s="9"/>
      <c r="K267" s="8"/>
      <c r="L267" s="5"/>
    </row>
    <row r="268" spans="1:12" ht="18.600000000000001" customHeight="1" x14ac:dyDescent="0.25">
      <c r="A268" s="5"/>
      <c r="B268" s="5"/>
      <c r="C268" s="6"/>
      <c r="D268" s="7"/>
      <c r="E268" s="8"/>
      <c r="F268" s="8"/>
      <c r="G268" s="8"/>
      <c r="H268" s="9"/>
      <c r="I268" s="9"/>
      <c r="J268" s="9"/>
      <c r="K268" s="8"/>
      <c r="L268" s="5"/>
    </row>
    <row r="269" spans="1:12" ht="18.600000000000001" customHeight="1" x14ac:dyDescent="0.25">
      <c r="A269" s="5"/>
      <c r="B269" s="5"/>
      <c r="C269" s="6"/>
      <c r="D269" s="7"/>
      <c r="E269" s="8"/>
      <c r="F269" s="8"/>
      <c r="G269" s="8"/>
      <c r="H269" s="9"/>
      <c r="I269" s="9"/>
      <c r="J269" s="9"/>
      <c r="K269" s="8"/>
      <c r="L269" s="5"/>
    </row>
    <row r="270" spans="1:12" ht="18.600000000000001" customHeight="1" x14ac:dyDescent="0.25">
      <c r="A270" s="5"/>
      <c r="B270" s="5"/>
      <c r="C270" s="6"/>
      <c r="D270" s="7"/>
      <c r="E270" s="8"/>
      <c r="F270" s="8"/>
      <c r="G270" s="8"/>
      <c r="H270" s="9"/>
      <c r="I270" s="9"/>
      <c r="J270" s="9"/>
      <c r="K270" s="8"/>
      <c r="L270" s="5"/>
    </row>
    <row r="271" spans="1:12" ht="18.600000000000001" customHeight="1" x14ac:dyDescent="0.25">
      <c r="A271" s="5"/>
      <c r="B271" s="5"/>
      <c r="C271" s="6"/>
      <c r="D271" s="7"/>
      <c r="E271" s="8"/>
      <c r="F271" s="8"/>
      <c r="G271" s="8"/>
      <c r="H271" s="9"/>
      <c r="I271" s="9"/>
      <c r="J271" s="9"/>
      <c r="K271" s="8"/>
      <c r="L271" s="5"/>
    </row>
    <row r="272" spans="1:12" ht="18.600000000000001" customHeight="1" x14ac:dyDescent="0.25">
      <c r="A272" s="5"/>
      <c r="B272" s="5"/>
      <c r="C272" s="6"/>
      <c r="D272" s="7"/>
      <c r="E272" s="8"/>
      <c r="F272" s="8"/>
      <c r="G272" s="8"/>
      <c r="H272" s="9"/>
      <c r="I272" s="9"/>
      <c r="J272" s="9"/>
      <c r="K272" s="8"/>
      <c r="L272" s="5"/>
    </row>
    <row r="273" spans="1:12" ht="18.600000000000001" customHeight="1" x14ac:dyDescent="0.25">
      <c r="A273" s="5"/>
      <c r="B273" s="5"/>
      <c r="C273" s="6"/>
      <c r="D273" s="7"/>
      <c r="E273" s="8"/>
      <c r="F273" s="8"/>
      <c r="G273" s="8"/>
      <c r="H273" s="9"/>
      <c r="I273" s="9"/>
      <c r="J273" s="9"/>
      <c r="K273" s="8"/>
      <c r="L273" s="5"/>
    </row>
    <row r="274" spans="1:12" ht="18.600000000000001" customHeight="1" x14ac:dyDescent="0.25">
      <c r="A274" s="5"/>
      <c r="B274" s="5"/>
      <c r="C274" s="6"/>
      <c r="D274" s="7"/>
      <c r="E274" s="8"/>
      <c r="F274" s="8"/>
      <c r="G274" s="8"/>
      <c r="H274" s="9"/>
      <c r="I274" s="9"/>
      <c r="J274" s="9"/>
      <c r="K274" s="8"/>
      <c r="L274" s="5"/>
    </row>
    <row r="275" spans="1:12" ht="18.600000000000001" customHeight="1" x14ac:dyDescent="0.25">
      <c r="A275" s="5"/>
      <c r="B275" s="5"/>
      <c r="C275" s="6"/>
      <c r="D275" s="7"/>
      <c r="E275" s="8"/>
      <c r="F275" s="8"/>
      <c r="G275" s="8"/>
      <c r="H275" s="9"/>
      <c r="I275" s="9"/>
      <c r="J275" s="9"/>
      <c r="K275" s="8"/>
      <c r="L275" s="5"/>
    </row>
    <row r="276" spans="1:12" ht="18.600000000000001" customHeight="1" x14ac:dyDescent="0.25">
      <c r="A276" s="5"/>
      <c r="B276" s="5"/>
      <c r="C276" s="6"/>
      <c r="D276" s="7"/>
      <c r="E276" s="8"/>
      <c r="F276" s="8"/>
      <c r="G276" s="8"/>
      <c r="H276" s="9"/>
      <c r="I276" s="9"/>
      <c r="J276" s="9"/>
      <c r="K276" s="8"/>
      <c r="L276" s="5"/>
    </row>
    <row r="277" spans="1:12" ht="18.600000000000001" customHeight="1" x14ac:dyDescent="0.25">
      <c r="A277" s="5"/>
      <c r="B277" s="5"/>
      <c r="C277" s="6"/>
      <c r="D277" s="7"/>
      <c r="E277" s="8"/>
      <c r="F277" s="8"/>
      <c r="G277" s="8"/>
      <c r="H277" s="9"/>
      <c r="I277" s="9"/>
      <c r="J277" s="9"/>
      <c r="K277" s="8"/>
      <c r="L277" s="5"/>
    </row>
    <row r="278" spans="1:12" ht="18.600000000000001" customHeight="1" x14ac:dyDescent="0.25">
      <c r="A278" s="5"/>
      <c r="B278" s="5"/>
      <c r="C278" s="6"/>
      <c r="D278" s="7"/>
      <c r="E278" s="8"/>
      <c r="F278" s="8"/>
      <c r="G278" s="8"/>
      <c r="H278" s="9"/>
      <c r="I278" s="9"/>
      <c r="J278" s="9"/>
      <c r="K278" s="8"/>
      <c r="L278" s="5"/>
    </row>
    <row r="279" spans="1:12" ht="18.600000000000001" customHeight="1" x14ac:dyDescent="0.25">
      <c r="A279" s="5"/>
      <c r="B279" s="5"/>
      <c r="C279" s="6"/>
      <c r="D279" s="7"/>
      <c r="E279" s="8"/>
      <c r="F279" s="8"/>
      <c r="G279" s="8"/>
      <c r="H279" s="9"/>
      <c r="I279" s="9"/>
      <c r="J279" s="9"/>
      <c r="K279" s="8"/>
      <c r="L279" s="5"/>
    </row>
    <row r="280" spans="1:12" ht="18.600000000000001" customHeight="1" x14ac:dyDescent="0.25">
      <c r="A280" s="5"/>
      <c r="B280" s="5"/>
      <c r="C280" s="6"/>
      <c r="D280" s="7"/>
      <c r="E280" s="8"/>
      <c r="F280" s="8"/>
      <c r="G280" s="8"/>
      <c r="H280" s="9"/>
      <c r="I280" s="9"/>
      <c r="J280" s="9"/>
      <c r="K280" s="8"/>
      <c r="L280" s="5"/>
    </row>
    <row r="281" spans="1:12" ht="18.600000000000001" customHeight="1" x14ac:dyDescent="0.25">
      <c r="A281" s="5"/>
      <c r="B281" s="5"/>
      <c r="C281" s="6"/>
      <c r="D281" s="7"/>
      <c r="E281" s="8"/>
      <c r="F281" s="8"/>
      <c r="G281" s="8"/>
      <c r="H281" s="9"/>
      <c r="I281" s="9"/>
      <c r="J281" s="9"/>
      <c r="K281" s="8"/>
      <c r="L281" s="5"/>
    </row>
    <row r="282" spans="1:12" ht="18.600000000000001" customHeight="1" x14ac:dyDescent="0.25">
      <c r="A282" s="5"/>
      <c r="B282" s="5"/>
      <c r="C282" s="6"/>
      <c r="D282" s="7"/>
      <c r="E282" s="8"/>
      <c r="F282" s="8"/>
      <c r="G282" s="8"/>
      <c r="H282" s="9"/>
      <c r="I282" s="9"/>
      <c r="J282" s="9"/>
      <c r="K282" s="8"/>
      <c r="L282" s="5"/>
    </row>
    <row r="283" spans="1:12" ht="18.600000000000001" customHeight="1" x14ac:dyDescent="0.25">
      <c r="A283" s="5"/>
      <c r="B283" s="5"/>
      <c r="C283" s="6"/>
      <c r="D283" s="7"/>
      <c r="E283" s="8"/>
      <c r="F283" s="8"/>
      <c r="G283" s="8"/>
      <c r="H283" s="9"/>
      <c r="I283" s="9"/>
      <c r="J283" s="9"/>
      <c r="K283" s="8"/>
      <c r="L283" s="5"/>
    </row>
    <row r="284" spans="1:12" ht="18.600000000000001" customHeight="1" x14ac:dyDescent="0.25">
      <c r="A284" s="5"/>
      <c r="B284" s="5"/>
      <c r="C284" s="6"/>
      <c r="D284" s="7"/>
      <c r="E284" s="8"/>
      <c r="F284" s="8"/>
      <c r="G284" s="8"/>
      <c r="H284" s="9"/>
      <c r="I284" s="9"/>
      <c r="J284" s="9"/>
      <c r="K284" s="8"/>
      <c r="L284" s="5"/>
    </row>
    <row r="285" spans="1:12" ht="18.600000000000001" customHeight="1" x14ac:dyDescent="0.25">
      <c r="A285" s="5"/>
      <c r="B285" s="5"/>
      <c r="C285" s="6"/>
      <c r="D285" s="7"/>
      <c r="E285" s="8"/>
      <c r="F285" s="8"/>
      <c r="G285" s="8"/>
      <c r="H285" s="9"/>
      <c r="I285" s="9"/>
      <c r="J285" s="9"/>
      <c r="K285" s="8"/>
      <c r="L285" s="5"/>
    </row>
    <row r="286" spans="1:12" ht="18.600000000000001" customHeight="1" x14ac:dyDescent="0.25">
      <c r="A286" s="5"/>
      <c r="B286" s="5"/>
      <c r="C286" s="6"/>
      <c r="D286" s="7"/>
      <c r="E286" s="8"/>
      <c r="F286" s="8"/>
      <c r="G286" s="8"/>
      <c r="H286" s="9"/>
      <c r="I286" s="9"/>
      <c r="J286" s="9"/>
      <c r="K286" s="8"/>
      <c r="L286" s="5"/>
    </row>
    <row r="287" spans="1:12" ht="18.600000000000001" customHeight="1" x14ac:dyDescent="0.25">
      <c r="A287" s="5"/>
      <c r="B287" s="5"/>
      <c r="C287" s="6"/>
      <c r="D287" s="7"/>
      <c r="E287" s="8"/>
      <c r="F287" s="8"/>
      <c r="G287" s="8"/>
      <c r="H287" s="9"/>
      <c r="I287" s="9"/>
      <c r="J287" s="9"/>
      <c r="K287" s="8"/>
      <c r="L287" s="5"/>
    </row>
    <row r="288" spans="1:12" ht="18.600000000000001" customHeight="1" x14ac:dyDescent="0.25">
      <c r="A288" s="5"/>
      <c r="B288" s="5"/>
      <c r="C288" s="6"/>
      <c r="D288" s="7"/>
      <c r="E288" s="8"/>
      <c r="F288" s="8"/>
      <c r="G288" s="8"/>
      <c r="H288" s="9"/>
      <c r="I288" s="9"/>
      <c r="J288" s="9"/>
      <c r="K288" s="8"/>
      <c r="L288" s="5"/>
    </row>
    <row r="289" spans="1:12" ht="18.600000000000001" customHeight="1" x14ac:dyDescent="0.25">
      <c r="A289" s="5"/>
      <c r="B289" s="5"/>
      <c r="C289" s="6"/>
      <c r="D289" s="7"/>
      <c r="E289" s="8"/>
      <c r="F289" s="8"/>
      <c r="G289" s="8"/>
      <c r="H289" s="9"/>
      <c r="I289" s="9"/>
      <c r="J289" s="9"/>
      <c r="K289" s="8"/>
      <c r="L289" s="5"/>
    </row>
    <row r="290" spans="1:12" ht="18.600000000000001" customHeight="1" x14ac:dyDescent="0.25">
      <c r="A290" s="5"/>
      <c r="B290" s="5"/>
      <c r="C290" s="6"/>
      <c r="D290" s="7"/>
      <c r="E290" s="8"/>
      <c r="F290" s="8"/>
      <c r="G290" s="8"/>
      <c r="H290" s="9"/>
      <c r="I290" s="9"/>
      <c r="J290" s="9"/>
      <c r="K290" s="8"/>
      <c r="L290" s="5"/>
    </row>
    <row r="291" spans="1:12" ht="18.600000000000001" customHeight="1" x14ac:dyDescent="0.25">
      <c r="A291" s="5"/>
      <c r="B291" s="5"/>
      <c r="C291" s="6"/>
      <c r="D291" s="7"/>
      <c r="E291" s="8"/>
      <c r="F291" s="8"/>
      <c r="G291" s="8"/>
      <c r="H291" s="9"/>
      <c r="I291" s="9"/>
      <c r="J291" s="9"/>
      <c r="K291" s="8"/>
      <c r="L291" s="5"/>
    </row>
    <row r="292" spans="1:12" ht="18.600000000000001" customHeight="1" x14ac:dyDescent="0.25">
      <c r="A292" s="5"/>
      <c r="B292" s="5"/>
      <c r="C292" s="6"/>
      <c r="D292" s="7"/>
      <c r="E292" s="8"/>
      <c r="F292" s="8"/>
      <c r="G292" s="8"/>
      <c r="H292" s="9"/>
      <c r="I292" s="9"/>
      <c r="J292" s="9"/>
      <c r="K292" s="8"/>
      <c r="L292" s="5"/>
    </row>
    <row r="293" spans="1:12" ht="18.600000000000001" customHeight="1" x14ac:dyDescent="0.25">
      <c r="A293" s="5"/>
      <c r="B293" s="5"/>
      <c r="C293" s="6"/>
      <c r="D293" s="7"/>
      <c r="E293" s="8"/>
      <c r="F293" s="8"/>
      <c r="G293" s="8"/>
      <c r="H293" s="9"/>
      <c r="I293" s="9"/>
      <c r="J293" s="9"/>
      <c r="K293" s="8"/>
      <c r="L293" s="5"/>
    </row>
    <row r="294" spans="1:12" ht="18.600000000000001" customHeight="1" x14ac:dyDescent="0.25">
      <c r="A294" s="5"/>
      <c r="B294" s="5"/>
      <c r="C294" s="6"/>
      <c r="D294" s="7"/>
      <c r="E294" s="8"/>
      <c r="F294" s="8"/>
      <c r="G294" s="8"/>
      <c r="H294" s="9"/>
      <c r="I294" s="9"/>
      <c r="J294" s="9"/>
      <c r="K294" s="8"/>
      <c r="L294" s="5"/>
    </row>
    <row r="295" spans="1:12" ht="18.600000000000001" customHeight="1" x14ac:dyDescent="0.25">
      <c r="A295" s="5"/>
      <c r="B295" s="5"/>
      <c r="C295" s="6"/>
      <c r="D295" s="7"/>
      <c r="E295" s="8"/>
      <c r="F295" s="8"/>
      <c r="G295" s="8"/>
      <c r="H295" s="9"/>
      <c r="I295" s="9"/>
      <c r="J295" s="9"/>
      <c r="K295" s="8"/>
      <c r="L295" s="5"/>
    </row>
    <row r="296" spans="1:12" ht="18.600000000000001" customHeight="1" x14ac:dyDescent="0.25">
      <c r="A296" s="5"/>
      <c r="B296" s="5"/>
      <c r="C296" s="6"/>
      <c r="D296" s="7"/>
      <c r="E296" s="8"/>
      <c r="F296" s="8"/>
      <c r="G296" s="8"/>
      <c r="H296" s="9"/>
      <c r="I296" s="9"/>
      <c r="J296" s="9"/>
      <c r="K296" s="8"/>
      <c r="L296" s="5"/>
    </row>
    <row r="297" spans="1:12" ht="18.600000000000001" customHeight="1" x14ac:dyDescent="0.25">
      <c r="A297" s="5"/>
      <c r="B297" s="5"/>
      <c r="C297" s="6"/>
      <c r="D297" s="7"/>
      <c r="E297" s="8"/>
      <c r="F297" s="8"/>
      <c r="G297" s="8"/>
      <c r="H297" s="9"/>
      <c r="I297" s="9"/>
      <c r="J297" s="9"/>
      <c r="K297" s="8"/>
      <c r="L297" s="5"/>
    </row>
    <row r="298" spans="1:12" ht="18.600000000000001" customHeight="1" x14ac:dyDescent="0.25">
      <c r="A298" s="5"/>
      <c r="B298" s="5"/>
      <c r="C298" s="6"/>
      <c r="D298" s="7"/>
      <c r="E298" s="8"/>
      <c r="F298" s="8"/>
      <c r="G298" s="8"/>
      <c r="H298" s="9"/>
      <c r="I298" s="9"/>
      <c r="J298" s="9"/>
      <c r="K298" s="8"/>
      <c r="L298" s="5"/>
    </row>
    <row r="299" spans="1:12" ht="18.600000000000001" customHeight="1" x14ac:dyDescent="0.25">
      <c r="A299" s="5"/>
      <c r="B299" s="5"/>
      <c r="C299" s="6"/>
      <c r="D299" s="7"/>
      <c r="E299" s="8"/>
      <c r="F299" s="8"/>
      <c r="G299" s="8"/>
      <c r="H299" s="9"/>
      <c r="I299" s="9"/>
      <c r="J299" s="9"/>
      <c r="K299" s="8"/>
      <c r="L299" s="5"/>
    </row>
    <row r="300" spans="1:12" ht="18.600000000000001" customHeight="1" x14ac:dyDescent="0.25">
      <c r="A300" s="5"/>
      <c r="B300" s="5"/>
      <c r="C300" s="6"/>
      <c r="D300" s="7"/>
      <c r="E300" s="8"/>
      <c r="F300" s="8"/>
      <c r="G300" s="8"/>
      <c r="H300" s="9"/>
      <c r="I300" s="9"/>
      <c r="J300" s="9"/>
      <c r="K300" s="8"/>
      <c r="L300" s="5"/>
    </row>
    <row r="301" spans="1:12" ht="18.600000000000001" customHeight="1" x14ac:dyDescent="0.25">
      <c r="A301" s="5"/>
      <c r="B301" s="5"/>
      <c r="C301" s="6"/>
      <c r="D301" s="7"/>
      <c r="E301" s="8"/>
      <c r="F301" s="8"/>
      <c r="G301" s="8"/>
      <c r="H301" s="9"/>
      <c r="I301" s="9"/>
      <c r="J301" s="9"/>
      <c r="K301" s="8"/>
      <c r="L301" s="5"/>
    </row>
    <row r="302" spans="1:12" ht="18.600000000000001" customHeight="1" x14ac:dyDescent="0.25">
      <c r="A302" s="5"/>
      <c r="B302" s="5"/>
      <c r="C302" s="6"/>
      <c r="D302" s="7"/>
      <c r="E302" s="8"/>
      <c r="F302" s="8"/>
      <c r="G302" s="8"/>
      <c r="H302" s="9"/>
      <c r="I302" s="9"/>
      <c r="J302" s="9"/>
      <c r="K302" s="8"/>
      <c r="L302" s="5"/>
    </row>
    <row r="303" spans="1:12" ht="18.600000000000001" customHeight="1" x14ac:dyDescent="0.25">
      <c r="A303" s="5"/>
      <c r="B303" s="5"/>
      <c r="C303" s="6"/>
      <c r="D303" s="7"/>
      <c r="E303" s="8"/>
      <c r="F303" s="8"/>
      <c r="G303" s="8"/>
      <c r="H303" s="9"/>
      <c r="I303" s="9"/>
      <c r="J303" s="9"/>
      <c r="K303" s="8"/>
      <c r="L303" s="5"/>
    </row>
    <row r="304" spans="1:12" ht="18.600000000000001" customHeight="1" x14ac:dyDescent="0.25">
      <c r="A304" s="5"/>
      <c r="B304" s="5"/>
      <c r="C304" s="6"/>
      <c r="D304" s="7"/>
      <c r="E304" s="8"/>
      <c r="F304" s="8"/>
      <c r="G304" s="8"/>
      <c r="H304" s="9"/>
      <c r="I304" s="9"/>
      <c r="J304" s="9"/>
      <c r="K304" s="8"/>
      <c r="L304" s="5"/>
    </row>
    <row r="305" spans="1:12" ht="18.600000000000001" customHeight="1" x14ac:dyDescent="0.25">
      <c r="A305" s="5"/>
      <c r="B305" s="5"/>
      <c r="C305" s="6"/>
      <c r="D305" s="7"/>
      <c r="E305" s="8"/>
      <c r="F305" s="8"/>
      <c r="G305" s="8"/>
      <c r="H305" s="9"/>
      <c r="I305" s="9"/>
      <c r="J305" s="9"/>
      <c r="K305" s="8"/>
      <c r="L305" s="5"/>
    </row>
    <row r="306" spans="1:12" ht="18.600000000000001" customHeight="1" x14ac:dyDescent="0.25">
      <c r="A306" s="5"/>
      <c r="B306" s="5"/>
      <c r="C306" s="6"/>
      <c r="D306" s="7"/>
      <c r="E306" s="8"/>
      <c r="F306" s="8"/>
      <c r="G306" s="8"/>
      <c r="H306" s="9"/>
      <c r="I306" s="9"/>
      <c r="J306" s="9"/>
      <c r="K306" s="8"/>
      <c r="L306" s="5"/>
    </row>
    <row r="307" spans="1:12" ht="18.600000000000001" customHeight="1" x14ac:dyDescent="0.25">
      <c r="A307" s="5"/>
      <c r="B307" s="5"/>
      <c r="C307" s="6"/>
      <c r="D307" s="7"/>
      <c r="E307" s="8"/>
      <c r="F307" s="8"/>
      <c r="G307" s="8"/>
      <c r="H307" s="9"/>
      <c r="I307" s="9"/>
      <c r="J307" s="9"/>
      <c r="K307" s="8"/>
      <c r="L307" s="5"/>
    </row>
    <row r="308" spans="1:12" ht="18.600000000000001" customHeight="1" x14ac:dyDescent="0.25">
      <c r="A308" s="5"/>
      <c r="B308" s="5"/>
      <c r="C308" s="6"/>
      <c r="D308" s="7"/>
      <c r="E308" s="8"/>
      <c r="F308" s="8"/>
      <c r="G308" s="8"/>
      <c r="H308" s="9"/>
      <c r="I308" s="9"/>
      <c r="J308" s="9"/>
      <c r="K308" s="8"/>
      <c r="L308" s="5"/>
    </row>
    <row r="309" spans="1:12" ht="18.600000000000001" customHeight="1" x14ac:dyDescent="0.25">
      <c r="A309" s="5"/>
      <c r="B309" s="5"/>
      <c r="C309" s="6"/>
      <c r="D309" s="7"/>
      <c r="E309" s="8"/>
      <c r="F309" s="8"/>
      <c r="G309" s="8"/>
      <c r="H309" s="9"/>
      <c r="I309" s="9"/>
      <c r="J309" s="9"/>
      <c r="K309" s="8"/>
      <c r="L309" s="5"/>
    </row>
    <row r="310" spans="1:12" ht="18.600000000000001" customHeight="1" x14ac:dyDescent="0.25">
      <c r="A310" s="5"/>
      <c r="B310" s="5"/>
      <c r="C310" s="6"/>
      <c r="D310" s="7"/>
      <c r="E310" s="8"/>
      <c r="F310" s="8"/>
      <c r="G310" s="8"/>
      <c r="H310" s="9"/>
      <c r="I310" s="9"/>
      <c r="J310" s="9"/>
      <c r="K310" s="8"/>
      <c r="L310" s="5"/>
    </row>
    <row r="311" spans="1:12" ht="18.600000000000001" customHeight="1" x14ac:dyDescent="0.25">
      <c r="A311" s="5"/>
      <c r="B311" s="5"/>
      <c r="C311" s="6"/>
      <c r="D311" s="7"/>
      <c r="E311" s="8"/>
      <c r="F311" s="8"/>
      <c r="G311" s="8"/>
      <c r="H311" s="9"/>
      <c r="I311" s="9"/>
      <c r="J311" s="9"/>
      <c r="K311" s="8"/>
      <c r="L311" s="5"/>
    </row>
    <row r="312" spans="1:12" ht="18.600000000000001" customHeight="1" x14ac:dyDescent="0.25">
      <c r="A312" s="5"/>
      <c r="B312" s="5"/>
      <c r="C312" s="6"/>
      <c r="D312" s="7"/>
      <c r="E312" s="8"/>
      <c r="F312" s="8"/>
      <c r="G312" s="8"/>
      <c r="H312" s="9"/>
      <c r="I312" s="9"/>
      <c r="J312" s="9"/>
      <c r="K312" s="8"/>
      <c r="L312" s="5"/>
    </row>
    <row r="313" spans="1:12" ht="18.600000000000001" customHeight="1" x14ac:dyDescent="0.25">
      <c r="A313" s="5"/>
      <c r="B313" s="5"/>
      <c r="C313" s="6"/>
      <c r="D313" s="7"/>
      <c r="E313" s="8"/>
      <c r="F313" s="8"/>
      <c r="G313" s="8"/>
      <c r="H313" s="9"/>
      <c r="I313" s="9"/>
      <c r="J313" s="9"/>
      <c r="K313" s="8"/>
      <c r="L313" s="5"/>
    </row>
    <row r="314" spans="1:12" ht="18.600000000000001" customHeight="1" x14ac:dyDescent="0.25">
      <c r="A314" s="5"/>
      <c r="B314" s="5"/>
      <c r="C314" s="6"/>
      <c r="D314" s="7"/>
      <c r="E314" s="8"/>
      <c r="F314" s="8"/>
      <c r="G314" s="8"/>
      <c r="H314" s="9"/>
      <c r="I314" s="9"/>
      <c r="J314" s="9"/>
      <c r="K314" s="8"/>
      <c r="L314" s="5"/>
    </row>
    <row r="315" spans="1:12" ht="18.600000000000001" customHeight="1" x14ac:dyDescent="0.25">
      <c r="A315" s="5"/>
      <c r="B315" s="5"/>
      <c r="C315" s="6"/>
      <c r="D315" s="7"/>
      <c r="E315" s="8"/>
      <c r="F315" s="8"/>
      <c r="G315" s="8"/>
      <c r="H315" s="9"/>
      <c r="I315" s="9"/>
      <c r="J315" s="9"/>
      <c r="K315" s="8"/>
      <c r="L315" s="5"/>
    </row>
    <row r="316" spans="1:12" ht="18.600000000000001" customHeight="1" x14ac:dyDescent="0.25">
      <c r="A316" s="5"/>
      <c r="B316" s="5"/>
      <c r="C316" s="6"/>
      <c r="D316" s="7"/>
      <c r="E316" s="8"/>
      <c r="F316" s="8"/>
      <c r="G316" s="8"/>
      <c r="H316" s="9"/>
      <c r="I316" s="9"/>
      <c r="J316" s="9"/>
      <c r="K316" s="8"/>
      <c r="L316" s="5"/>
    </row>
    <row r="317" spans="1:12" ht="18.600000000000001" customHeight="1" x14ac:dyDescent="0.25">
      <c r="A317" s="5"/>
      <c r="B317" s="5"/>
      <c r="C317" s="6"/>
      <c r="D317" s="7"/>
      <c r="E317" s="8"/>
      <c r="F317" s="8"/>
      <c r="G317" s="8"/>
      <c r="H317" s="9"/>
      <c r="I317" s="9"/>
      <c r="J317" s="9"/>
      <c r="K317" s="8"/>
      <c r="L317" s="5"/>
    </row>
    <row r="318" spans="1:12" ht="18.600000000000001" customHeight="1" x14ac:dyDescent="0.25">
      <c r="A318" s="5"/>
      <c r="B318" s="5"/>
      <c r="C318" s="6"/>
      <c r="D318" s="7"/>
      <c r="E318" s="8"/>
      <c r="F318" s="8"/>
      <c r="G318" s="8"/>
      <c r="H318" s="9"/>
      <c r="I318" s="9"/>
      <c r="J318" s="9"/>
      <c r="K318" s="8"/>
      <c r="L318" s="5"/>
    </row>
    <row r="319" spans="1:12" ht="18.600000000000001" customHeight="1" x14ac:dyDescent="0.25">
      <c r="A319" s="5"/>
      <c r="B319" s="5"/>
      <c r="C319" s="6"/>
      <c r="D319" s="7"/>
      <c r="E319" s="8"/>
      <c r="F319" s="8"/>
      <c r="G319" s="8"/>
      <c r="H319" s="9"/>
      <c r="I319" s="9"/>
      <c r="J319" s="9"/>
      <c r="K319" s="8"/>
      <c r="L319" s="5"/>
    </row>
    <row r="320" spans="1:12" ht="18.600000000000001" customHeight="1" x14ac:dyDescent="0.25">
      <c r="A320" s="5"/>
      <c r="B320" s="5"/>
      <c r="C320" s="6"/>
      <c r="D320" s="7"/>
      <c r="E320" s="8"/>
      <c r="F320" s="8"/>
      <c r="G320" s="8"/>
      <c r="H320" s="9"/>
      <c r="I320" s="9"/>
      <c r="J320" s="9"/>
      <c r="K320" s="8"/>
      <c r="L320" s="5"/>
    </row>
    <row r="321" spans="1:12" ht="18.600000000000001" customHeight="1" x14ac:dyDescent="0.25">
      <c r="A321" s="5"/>
      <c r="B321" s="5"/>
      <c r="C321" s="6"/>
      <c r="D321" s="7"/>
      <c r="E321" s="8"/>
      <c r="F321" s="8"/>
      <c r="G321" s="8"/>
      <c r="H321" s="9"/>
      <c r="I321" s="9"/>
      <c r="J321" s="9"/>
      <c r="K321" s="8"/>
      <c r="L321" s="5"/>
    </row>
    <row r="322" spans="1:12" ht="18.600000000000001" customHeight="1" x14ac:dyDescent="0.25">
      <c r="A322" s="5"/>
      <c r="B322" s="5"/>
      <c r="C322" s="6"/>
      <c r="D322" s="7"/>
      <c r="E322" s="8"/>
      <c r="F322" s="8"/>
      <c r="G322" s="8"/>
      <c r="H322" s="9"/>
      <c r="I322" s="9"/>
      <c r="J322" s="9"/>
      <c r="K322" s="8"/>
      <c r="L322" s="5"/>
    </row>
    <row r="323" spans="1:12" ht="18.600000000000001" customHeight="1" x14ac:dyDescent="0.25">
      <c r="A323" s="5"/>
      <c r="B323" s="5"/>
      <c r="C323" s="6"/>
      <c r="D323" s="7"/>
      <c r="E323" s="8"/>
      <c r="F323" s="8"/>
      <c r="G323" s="8"/>
      <c r="H323" s="9"/>
      <c r="I323" s="9"/>
      <c r="J323" s="9"/>
      <c r="K323" s="8"/>
      <c r="L323" s="5"/>
    </row>
    <row r="324" spans="1:12" ht="18.600000000000001" customHeight="1" x14ac:dyDescent="0.25">
      <c r="A324" s="5"/>
      <c r="B324" s="5"/>
      <c r="C324" s="6"/>
      <c r="D324" s="7"/>
      <c r="E324" s="8"/>
      <c r="F324" s="8"/>
      <c r="G324" s="8"/>
      <c r="H324" s="9"/>
      <c r="I324" s="9"/>
      <c r="J324" s="9"/>
      <c r="K324" s="8"/>
      <c r="L324" s="5"/>
    </row>
    <row r="325" spans="1:12" ht="18.600000000000001" customHeight="1" x14ac:dyDescent="0.25">
      <c r="A325" s="5"/>
      <c r="B325" s="5"/>
      <c r="C325" s="6"/>
      <c r="D325" s="7"/>
      <c r="E325" s="8"/>
      <c r="F325" s="8"/>
      <c r="G325" s="8"/>
      <c r="H325" s="9"/>
      <c r="I325" s="9"/>
      <c r="J325" s="9"/>
      <c r="K325" s="8"/>
      <c r="L325" s="5"/>
    </row>
    <row r="326" spans="1:12" ht="18.600000000000001" customHeight="1" x14ac:dyDescent="0.25">
      <c r="A326" s="5"/>
      <c r="B326" s="5"/>
      <c r="C326" s="6"/>
      <c r="D326" s="7"/>
      <c r="E326" s="8"/>
      <c r="F326" s="8"/>
      <c r="G326" s="8"/>
      <c r="H326" s="9"/>
      <c r="I326" s="9"/>
      <c r="J326" s="9"/>
      <c r="K326" s="8"/>
      <c r="L326" s="5"/>
    </row>
    <row r="327" spans="1:12" ht="18.600000000000001" customHeight="1" x14ac:dyDescent="0.25">
      <c r="A327" s="5"/>
      <c r="B327" s="5"/>
      <c r="C327" s="6"/>
      <c r="D327" s="7"/>
      <c r="E327" s="8"/>
      <c r="F327" s="8"/>
      <c r="G327" s="8"/>
      <c r="H327" s="9"/>
      <c r="I327" s="9"/>
      <c r="J327" s="9"/>
      <c r="K327" s="8"/>
      <c r="L327" s="5"/>
    </row>
    <row r="328" spans="1:12" ht="18.600000000000001" customHeight="1" x14ac:dyDescent="0.25">
      <c r="A328" s="5"/>
      <c r="B328" s="5"/>
      <c r="C328" s="6"/>
      <c r="D328" s="7"/>
      <c r="E328" s="8"/>
      <c r="F328" s="8"/>
      <c r="G328" s="8"/>
      <c r="H328" s="9"/>
      <c r="I328" s="9"/>
      <c r="J328" s="9"/>
      <c r="K328" s="8"/>
      <c r="L328" s="5"/>
    </row>
    <row r="329" spans="1:12" ht="18.600000000000001" customHeight="1" x14ac:dyDescent="0.25">
      <c r="A329" s="5"/>
      <c r="B329" s="5"/>
      <c r="C329" s="6"/>
      <c r="D329" s="7"/>
      <c r="E329" s="8"/>
      <c r="F329" s="8"/>
      <c r="G329" s="8"/>
      <c r="H329" s="9"/>
      <c r="I329" s="9"/>
      <c r="J329" s="9"/>
      <c r="K329" s="8"/>
      <c r="L329" s="5"/>
    </row>
    <row r="330" spans="1:12" ht="18.600000000000001" customHeight="1" x14ac:dyDescent="0.25">
      <c r="A330" s="5"/>
      <c r="B330" s="5"/>
      <c r="C330" s="6"/>
      <c r="D330" s="7"/>
      <c r="E330" s="8"/>
      <c r="F330" s="8"/>
      <c r="G330" s="8"/>
      <c r="H330" s="9"/>
      <c r="I330" s="9"/>
      <c r="J330" s="9"/>
      <c r="K330" s="8"/>
      <c r="L330" s="5"/>
    </row>
    <row r="331" spans="1:12" ht="18.600000000000001" customHeight="1" x14ac:dyDescent="0.25">
      <c r="A331" s="5"/>
      <c r="B331" s="5"/>
      <c r="C331" s="6"/>
      <c r="D331" s="7"/>
      <c r="E331" s="8"/>
      <c r="F331" s="8"/>
      <c r="G331" s="8"/>
      <c r="H331" s="9"/>
      <c r="I331" s="9"/>
      <c r="J331" s="9"/>
      <c r="K331" s="8"/>
      <c r="L331" s="5"/>
    </row>
    <row r="332" spans="1:12" ht="18.600000000000001" customHeight="1" x14ac:dyDescent="0.25">
      <c r="A332" s="5"/>
      <c r="B332" s="5"/>
      <c r="C332" s="6"/>
      <c r="D332" s="7"/>
      <c r="E332" s="8"/>
      <c r="F332" s="8"/>
      <c r="G332" s="8"/>
      <c r="H332" s="9"/>
      <c r="I332" s="9"/>
      <c r="J332" s="9"/>
      <c r="K332" s="8"/>
      <c r="L332" s="5"/>
    </row>
    <row r="333" spans="1:12" ht="18.600000000000001" customHeight="1" x14ac:dyDescent="0.25">
      <c r="A333" s="5"/>
      <c r="B333" s="5"/>
      <c r="C333" s="6"/>
      <c r="D333" s="7"/>
      <c r="E333" s="8"/>
      <c r="F333" s="8"/>
      <c r="G333" s="8"/>
      <c r="H333" s="9"/>
      <c r="I333" s="9"/>
      <c r="J333" s="9"/>
      <c r="K333" s="8"/>
      <c r="L333" s="5"/>
    </row>
    <row r="334" spans="1:12" ht="18.600000000000001" customHeight="1" x14ac:dyDescent="0.25">
      <c r="A334" s="5"/>
      <c r="B334" s="5"/>
      <c r="C334" s="6"/>
      <c r="D334" s="7"/>
      <c r="E334" s="8"/>
      <c r="F334" s="8"/>
      <c r="G334" s="8"/>
      <c r="H334" s="9"/>
      <c r="I334" s="9"/>
      <c r="J334" s="9"/>
      <c r="K334" s="8"/>
      <c r="L334" s="5"/>
    </row>
    <row r="335" spans="1:12" ht="18.600000000000001" customHeight="1" x14ac:dyDescent="0.25">
      <c r="A335" s="5"/>
      <c r="B335" s="5"/>
      <c r="C335" s="6"/>
      <c r="D335" s="7"/>
      <c r="E335" s="8"/>
      <c r="F335" s="8"/>
      <c r="G335" s="8"/>
      <c r="H335" s="9"/>
      <c r="I335" s="9"/>
      <c r="J335" s="9"/>
      <c r="K335" s="8"/>
      <c r="L335" s="5"/>
    </row>
    <row r="336" spans="1:12" ht="18.600000000000001" customHeight="1" x14ac:dyDescent="0.25">
      <c r="A336" s="5"/>
      <c r="B336" s="5"/>
      <c r="C336" s="6"/>
      <c r="D336" s="7"/>
      <c r="E336" s="8"/>
      <c r="F336" s="8"/>
      <c r="G336" s="8"/>
      <c r="H336" s="9"/>
      <c r="I336" s="9"/>
      <c r="J336" s="9"/>
      <c r="K336" s="8"/>
      <c r="L336" s="5"/>
    </row>
    <row r="337" spans="1:12" ht="18.600000000000001" customHeight="1" x14ac:dyDescent="0.25">
      <c r="A337" s="5"/>
      <c r="B337" s="5"/>
      <c r="C337" s="6"/>
      <c r="D337" s="7"/>
      <c r="E337" s="8"/>
      <c r="F337" s="8"/>
      <c r="G337" s="8"/>
      <c r="H337" s="9"/>
      <c r="I337" s="9"/>
      <c r="J337" s="9"/>
      <c r="K337" s="8"/>
      <c r="L337" s="5"/>
    </row>
    <row r="338" spans="1:12" ht="18.600000000000001" customHeight="1" x14ac:dyDescent="0.25">
      <c r="A338" s="5"/>
      <c r="B338" s="5"/>
      <c r="C338" s="6"/>
      <c r="D338" s="7"/>
      <c r="E338" s="8"/>
      <c r="F338" s="8"/>
      <c r="G338" s="8"/>
      <c r="H338" s="9"/>
      <c r="I338" s="9"/>
      <c r="J338" s="9"/>
      <c r="K338" s="8"/>
      <c r="L338" s="5"/>
    </row>
    <row r="339" spans="1:12" ht="18.600000000000001" customHeight="1" x14ac:dyDescent="0.25">
      <c r="A339" s="5"/>
      <c r="B339" s="5"/>
      <c r="C339" s="6"/>
      <c r="D339" s="7"/>
      <c r="E339" s="8"/>
      <c r="F339" s="8"/>
      <c r="G339" s="8"/>
      <c r="H339" s="9"/>
      <c r="I339" s="9"/>
      <c r="J339" s="9"/>
      <c r="K339" s="8"/>
      <c r="L339" s="5"/>
    </row>
    <row r="340" spans="1:12" ht="18.600000000000001" customHeight="1" x14ac:dyDescent="0.25">
      <c r="A340" s="5"/>
      <c r="B340" s="5"/>
      <c r="C340" s="6"/>
      <c r="D340" s="7"/>
      <c r="E340" s="8"/>
      <c r="F340" s="8"/>
      <c r="G340" s="8"/>
      <c r="H340" s="9"/>
      <c r="I340" s="9"/>
      <c r="J340" s="9"/>
      <c r="K340" s="8"/>
      <c r="L340" s="5"/>
    </row>
    <row r="341" spans="1:12" ht="18.600000000000001" customHeight="1" x14ac:dyDescent="0.25">
      <c r="A341" s="5"/>
      <c r="B341" s="5"/>
      <c r="C341" s="6"/>
      <c r="D341" s="7"/>
      <c r="E341" s="8"/>
      <c r="F341" s="8"/>
      <c r="G341" s="8"/>
      <c r="H341" s="9"/>
      <c r="I341" s="9"/>
      <c r="J341" s="9"/>
      <c r="K341" s="8"/>
      <c r="L341" s="5"/>
    </row>
    <row r="342" spans="1:12" ht="18.600000000000001" customHeight="1" x14ac:dyDescent="0.25">
      <c r="A342" s="5"/>
      <c r="B342" s="5"/>
      <c r="C342" s="6"/>
      <c r="D342" s="7"/>
      <c r="E342" s="8"/>
      <c r="F342" s="8"/>
      <c r="G342" s="8"/>
      <c r="H342" s="9"/>
      <c r="I342" s="9"/>
      <c r="J342" s="9"/>
      <c r="K342" s="8"/>
      <c r="L342" s="5"/>
    </row>
    <row r="343" spans="1:12" ht="18.600000000000001" customHeight="1" x14ac:dyDescent="0.25">
      <c r="A343" s="5"/>
      <c r="B343" s="5"/>
      <c r="C343" s="6"/>
      <c r="D343" s="7"/>
      <c r="E343" s="8"/>
      <c r="F343" s="8"/>
      <c r="G343" s="8"/>
      <c r="H343" s="9"/>
      <c r="I343" s="9"/>
      <c r="J343" s="9"/>
      <c r="K343" s="8"/>
      <c r="L343" s="5"/>
    </row>
    <row r="344" spans="1:12" ht="18.600000000000001" customHeight="1" x14ac:dyDescent="0.25">
      <c r="A344" s="5"/>
      <c r="B344" s="5"/>
      <c r="C344" s="6"/>
      <c r="D344" s="7"/>
      <c r="E344" s="8"/>
      <c r="F344" s="8"/>
      <c r="G344" s="8"/>
      <c r="H344" s="9"/>
      <c r="I344" s="9"/>
      <c r="J344" s="9"/>
      <c r="K344" s="8"/>
      <c r="L344" s="5"/>
    </row>
    <row r="345" spans="1:12" ht="18.600000000000001" customHeight="1" x14ac:dyDescent="0.25">
      <c r="A345" s="5"/>
      <c r="B345" s="5"/>
      <c r="C345" s="6"/>
      <c r="D345" s="7"/>
      <c r="E345" s="8"/>
      <c r="F345" s="8"/>
      <c r="G345" s="8"/>
      <c r="H345" s="9"/>
      <c r="I345" s="9"/>
      <c r="J345" s="9"/>
      <c r="K345" s="8"/>
      <c r="L345" s="5"/>
    </row>
    <row r="346" spans="1:12" ht="18.600000000000001" customHeight="1" x14ac:dyDescent="0.25">
      <c r="A346" s="5"/>
      <c r="B346" s="5"/>
      <c r="C346" s="6"/>
      <c r="D346" s="7"/>
      <c r="E346" s="8"/>
      <c r="F346" s="8"/>
      <c r="G346" s="8"/>
      <c r="H346" s="9"/>
      <c r="I346" s="9"/>
      <c r="J346" s="9"/>
      <c r="K346" s="8"/>
      <c r="L346" s="5"/>
    </row>
    <row r="347" spans="1:12" ht="18.600000000000001" customHeight="1" x14ac:dyDescent="0.25">
      <c r="A347" s="5"/>
      <c r="B347" s="5"/>
      <c r="C347" s="6"/>
      <c r="D347" s="7"/>
      <c r="E347" s="8"/>
      <c r="F347" s="8"/>
      <c r="G347" s="8"/>
      <c r="H347" s="9"/>
      <c r="I347" s="9"/>
      <c r="J347" s="9"/>
      <c r="K347" s="8"/>
      <c r="L347" s="5"/>
    </row>
    <row r="348" spans="1:12" ht="18.600000000000001" customHeight="1" x14ac:dyDescent="0.25">
      <c r="A348" s="5"/>
      <c r="B348" s="5"/>
      <c r="C348" s="6"/>
      <c r="D348" s="7"/>
      <c r="E348" s="8"/>
      <c r="F348" s="8"/>
      <c r="G348" s="8"/>
      <c r="H348" s="9"/>
      <c r="I348" s="9"/>
      <c r="J348" s="9"/>
      <c r="K348" s="8"/>
      <c r="L348" s="5"/>
    </row>
    <row r="349" spans="1:12" ht="18.600000000000001" customHeight="1" x14ac:dyDescent="0.25">
      <c r="A349" s="5"/>
      <c r="B349" s="5"/>
      <c r="C349" s="6"/>
      <c r="D349" s="7"/>
      <c r="E349" s="8"/>
      <c r="F349" s="8"/>
      <c r="G349" s="8"/>
      <c r="H349" s="9"/>
      <c r="I349" s="9"/>
      <c r="J349" s="9"/>
      <c r="K349" s="8"/>
      <c r="L349" s="5"/>
    </row>
    <row r="350" spans="1:12" ht="18.600000000000001" customHeight="1" x14ac:dyDescent="0.25">
      <c r="A350" s="5"/>
      <c r="B350" s="5"/>
      <c r="C350" s="6"/>
      <c r="D350" s="7"/>
      <c r="E350" s="8"/>
      <c r="F350" s="8"/>
      <c r="G350" s="8"/>
      <c r="H350" s="9"/>
      <c r="I350" s="9"/>
      <c r="J350" s="9"/>
      <c r="K350" s="8"/>
      <c r="L350" s="5"/>
    </row>
    <row r="351" spans="1:12" ht="18.600000000000001" customHeight="1" x14ac:dyDescent="0.25">
      <c r="A351" s="5"/>
      <c r="B351" s="5"/>
      <c r="C351" s="6"/>
      <c r="D351" s="7"/>
      <c r="E351" s="8"/>
      <c r="F351" s="8"/>
      <c r="G351" s="8"/>
      <c r="H351" s="9"/>
      <c r="I351" s="9"/>
      <c r="J351" s="9"/>
      <c r="K351" s="8"/>
      <c r="L351" s="5"/>
    </row>
    <row r="352" spans="1:12" ht="18.600000000000001" customHeight="1" x14ac:dyDescent="0.25">
      <c r="A352" s="5"/>
      <c r="B352" s="5"/>
      <c r="C352" s="6"/>
      <c r="D352" s="7"/>
      <c r="E352" s="8"/>
      <c r="F352" s="8"/>
      <c r="G352" s="8"/>
      <c r="H352" s="9"/>
      <c r="I352" s="9"/>
      <c r="J352" s="9"/>
      <c r="K352" s="8"/>
      <c r="L352" s="5"/>
    </row>
    <row r="353" spans="1:12" ht="18.600000000000001" customHeight="1" x14ac:dyDescent="0.25">
      <c r="A353" s="5"/>
      <c r="B353" s="5"/>
      <c r="C353" s="6"/>
      <c r="D353" s="7"/>
      <c r="E353" s="8"/>
      <c r="F353" s="8"/>
      <c r="G353" s="8"/>
      <c r="H353" s="9"/>
      <c r="I353" s="9"/>
      <c r="J353" s="9"/>
      <c r="K353" s="8"/>
      <c r="L353" s="5"/>
    </row>
    <row r="354" spans="1:12" ht="18.600000000000001" customHeight="1" x14ac:dyDescent="0.25">
      <c r="A354" s="5"/>
      <c r="B354" s="5"/>
      <c r="C354" s="6"/>
      <c r="D354" s="7"/>
      <c r="E354" s="8"/>
      <c r="F354" s="8"/>
      <c r="G354" s="8"/>
      <c r="H354" s="9"/>
      <c r="I354" s="9"/>
      <c r="J354" s="9"/>
      <c r="K354" s="8"/>
      <c r="L354" s="5"/>
    </row>
    <row r="355" spans="1:12" ht="18.600000000000001" customHeight="1" x14ac:dyDescent="0.25">
      <c r="A355" s="5"/>
      <c r="B355" s="5"/>
      <c r="C355" s="6"/>
      <c r="D355" s="7"/>
      <c r="E355" s="8"/>
      <c r="F355" s="8"/>
      <c r="G355" s="8"/>
      <c r="H355" s="9"/>
      <c r="I355" s="9"/>
      <c r="J355" s="9"/>
      <c r="K355" s="8"/>
      <c r="L355" s="5"/>
    </row>
    <row r="356" spans="1:12" ht="18.600000000000001" customHeight="1" x14ac:dyDescent="0.25">
      <c r="A356" s="5"/>
      <c r="B356" s="5"/>
      <c r="C356" s="6"/>
      <c r="D356" s="7"/>
      <c r="E356" s="8"/>
      <c r="F356" s="8"/>
      <c r="G356" s="8"/>
      <c r="H356" s="9"/>
      <c r="I356" s="9"/>
      <c r="J356" s="9"/>
      <c r="K356" s="8"/>
      <c r="L356" s="5"/>
    </row>
    <row r="357" spans="1:12" ht="18.600000000000001" customHeight="1" x14ac:dyDescent="0.25">
      <c r="A357" s="5"/>
      <c r="B357" s="5"/>
      <c r="C357" s="6"/>
      <c r="D357" s="7"/>
      <c r="E357" s="8"/>
      <c r="F357" s="8"/>
      <c r="G357" s="8"/>
      <c r="H357" s="9"/>
      <c r="I357" s="9"/>
      <c r="J357" s="9"/>
      <c r="K357" s="8"/>
      <c r="L357" s="5"/>
    </row>
    <row r="358" spans="1:12" ht="18.600000000000001" customHeight="1" x14ac:dyDescent="0.25">
      <c r="A358" s="5"/>
      <c r="B358" s="5"/>
      <c r="C358" s="6"/>
      <c r="D358" s="7"/>
      <c r="E358" s="8"/>
      <c r="F358" s="8"/>
      <c r="G358" s="8"/>
      <c r="H358" s="9"/>
      <c r="I358" s="9"/>
      <c r="J358" s="9"/>
      <c r="K358" s="8"/>
      <c r="L358" s="5"/>
    </row>
    <row r="359" spans="1:12" ht="18.600000000000001" customHeight="1" x14ac:dyDescent="0.25">
      <c r="A359" s="5"/>
      <c r="B359" s="5"/>
      <c r="C359" s="6"/>
      <c r="D359" s="7"/>
      <c r="E359" s="8"/>
      <c r="F359" s="8"/>
      <c r="G359" s="8"/>
      <c r="H359" s="9"/>
      <c r="I359" s="9"/>
      <c r="J359" s="9"/>
      <c r="K359" s="8"/>
      <c r="L359" s="5"/>
    </row>
    <row r="360" spans="1:12" ht="18.600000000000001" customHeight="1" x14ac:dyDescent="0.25">
      <c r="A360" s="5"/>
      <c r="B360" s="5"/>
      <c r="C360" s="6"/>
      <c r="D360" s="7"/>
      <c r="E360" s="8"/>
      <c r="F360" s="8"/>
      <c r="G360" s="8"/>
      <c r="H360" s="9"/>
      <c r="I360" s="9"/>
      <c r="J360" s="9"/>
      <c r="K360" s="8"/>
      <c r="L360" s="5"/>
    </row>
    <row r="361" spans="1:12" ht="18.600000000000001" customHeight="1" x14ac:dyDescent="0.25">
      <c r="A361" s="5"/>
      <c r="B361" s="5"/>
      <c r="C361" s="6"/>
      <c r="D361" s="7"/>
      <c r="E361" s="8"/>
      <c r="F361" s="8"/>
      <c r="G361" s="8"/>
      <c r="H361" s="9"/>
      <c r="I361" s="9"/>
      <c r="J361" s="9"/>
      <c r="K361" s="8"/>
      <c r="L361" s="5"/>
    </row>
    <row r="362" spans="1:12" ht="18.600000000000001" customHeight="1" x14ac:dyDescent="0.25">
      <c r="A362" s="5"/>
      <c r="B362" s="5"/>
      <c r="C362" s="6"/>
      <c r="D362" s="7"/>
      <c r="E362" s="8"/>
      <c r="F362" s="8"/>
      <c r="G362" s="8"/>
      <c r="H362" s="9"/>
      <c r="I362" s="9"/>
      <c r="J362" s="9"/>
      <c r="K362" s="8"/>
      <c r="L362" s="5"/>
    </row>
    <row r="363" spans="1:12" ht="18.600000000000001" customHeight="1" x14ac:dyDescent="0.25">
      <c r="A363" s="5"/>
      <c r="B363" s="5"/>
      <c r="C363" s="6"/>
      <c r="D363" s="7"/>
      <c r="E363" s="8"/>
      <c r="F363" s="8"/>
      <c r="G363" s="8"/>
      <c r="H363" s="9"/>
      <c r="I363" s="9"/>
      <c r="J363" s="9"/>
      <c r="K363" s="8"/>
      <c r="L363" s="5"/>
    </row>
    <row r="364" spans="1:12" ht="18.600000000000001" customHeight="1" x14ac:dyDescent="0.25">
      <c r="A364" s="5"/>
      <c r="B364" s="5"/>
      <c r="C364" s="6"/>
      <c r="D364" s="7"/>
      <c r="E364" s="8"/>
      <c r="F364" s="8"/>
      <c r="G364" s="8"/>
      <c r="H364" s="9"/>
      <c r="I364" s="9"/>
      <c r="J364" s="9"/>
      <c r="K364" s="8"/>
      <c r="L364" s="5"/>
    </row>
    <row r="365" spans="1:12" ht="18.600000000000001" customHeight="1" x14ac:dyDescent="0.25">
      <c r="A365" s="5"/>
      <c r="B365" s="5"/>
      <c r="C365" s="6"/>
      <c r="D365" s="7"/>
      <c r="E365" s="8"/>
      <c r="F365" s="8"/>
      <c r="G365" s="8"/>
      <c r="H365" s="9"/>
      <c r="I365" s="9"/>
      <c r="J365" s="9"/>
      <c r="K365" s="8"/>
      <c r="L365" s="5"/>
    </row>
    <row r="366" spans="1:12" ht="18.600000000000001" customHeight="1" x14ac:dyDescent="0.25">
      <c r="A366" s="5"/>
      <c r="B366" s="5"/>
      <c r="C366" s="6"/>
      <c r="D366" s="7"/>
      <c r="E366" s="8"/>
      <c r="F366" s="8"/>
      <c r="G366" s="8"/>
      <c r="H366" s="9"/>
      <c r="I366" s="9"/>
      <c r="J366" s="9"/>
      <c r="K366" s="8"/>
      <c r="L366" s="5"/>
    </row>
    <row r="367" spans="1:12" ht="18.600000000000001" customHeight="1" x14ac:dyDescent="0.25">
      <c r="A367" s="5"/>
      <c r="B367" s="5"/>
      <c r="C367" s="6"/>
      <c r="D367" s="7"/>
      <c r="E367" s="8"/>
      <c r="F367" s="8"/>
      <c r="G367" s="8"/>
      <c r="H367" s="9"/>
      <c r="I367" s="9"/>
      <c r="J367" s="9"/>
      <c r="K367" s="8"/>
      <c r="L367" s="5"/>
    </row>
    <row r="368" spans="1:12" ht="18.600000000000001" customHeight="1" x14ac:dyDescent="0.25">
      <c r="A368" s="5"/>
      <c r="B368" s="5"/>
      <c r="C368" s="6"/>
      <c r="D368" s="7"/>
      <c r="E368" s="8"/>
      <c r="F368" s="8"/>
      <c r="G368" s="8"/>
      <c r="H368" s="9"/>
      <c r="I368" s="9"/>
      <c r="J368" s="9"/>
      <c r="K368" s="8"/>
      <c r="L368" s="5"/>
    </row>
  </sheetData>
  <sheetProtection algorithmName="SHA-512" hashValue="O/BZhdg7SHAQYFGCxlZWX8Po41hSJXIfez7XMikOXFCN8ZvU8jEMHEfchqKCGE1YkZOuUX88Gt4SdOpVPJMR+Q==" saltValue="3pLwlXOpXgMHyi5+e1Omcw==" spinCount="100000" sheet="1" objects="1" scenarios="1" selectLockedCells="1" selectUnlockedCells="1"/>
  <pageMargins left="0.69861111111111107" right="0.69861111111111107" top="0.75" bottom="0.75" header="0.3" footer="0.3"/>
  <pageSetup firstPageNumber="4294963191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W368"/>
  <sheetViews>
    <sheetView zoomScaleNormal="100" zoomScaleSheetLayoutView="100" workbookViewId="0">
      <pane ySplit="2" topLeftCell="A3" activePane="bottomLeft" state="frozen"/>
      <selection pane="bottomLeft" activeCell="N11" sqref="N11:R12"/>
    </sheetView>
  </sheetViews>
  <sheetFormatPr defaultRowHeight="15.75" customHeight="1" x14ac:dyDescent="0.25"/>
  <cols>
    <col min="1" max="1" width="13.5703125" style="38" customWidth="1"/>
    <col min="2" max="5" width="8.7109375" style="37" customWidth="1"/>
    <col min="6" max="7" width="9.140625" style="36"/>
    <col min="8" max="11" width="0" style="36" hidden="1" customWidth="1"/>
    <col min="12" max="13" width="9.140625" style="36"/>
    <col min="14" max="14" width="12.7109375" style="36" bestFit="1" customWidth="1"/>
    <col min="15" max="16384" width="9.140625" style="36"/>
  </cols>
  <sheetData>
    <row r="1" spans="1:23" s="26" customFormat="1" ht="15.75" customHeight="1" x14ac:dyDescent="0.25">
      <c r="A1" s="54" t="s">
        <v>12</v>
      </c>
      <c r="B1" s="73" t="s">
        <v>13</v>
      </c>
      <c r="C1" s="74"/>
      <c r="D1" s="73" t="s">
        <v>14</v>
      </c>
      <c r="E1" s="74"/>
      <c r="F1" s="59" t="s">
        <v>22</v>
      </c>
      <c r="G1" s="67"/>
      <c r="H1" s="67"/>
      <c r="I1" s="67"/>
      <c r="J1" s="67"/>
      <c r="K1" s="67"/>
      <c r="L1" s="67"/>
      <c r="M1" s="67"/>
      <c r="N1" s="67"/>
      <c r="O1" s="67"/>
      <c r="P1" s="67"/>
      <c r="Q1" s="67"/>
      <c r="R1" s="67"/>
      <c r="S1" s="67"/>
      <c r="T1" s="67"/>
      <c r="U1" s="67"/>
      <c r="V1" s="67"/>
      <c r="W1" s="75"/>
    </row>
    <row r="2" spans="1:23" s="26" customFormat="1" ht="15.75" customHeight="1" thickBot="1" x14ac:dyDescent="0.3">
      <c r="A2" s="55"/>
      <c r="B2" s="57" t="s">
        <v>15</v>
      </c>
      <c r="C2" s="58" t="s">
        <v>16</v>
      </c>
      <c r="D2" s="57" t="s">
        <v>15</v>
      </c>
      <c r="E2" s="58" t="s">
        <v>16</v>
      </c>
      <c r="F2" s="76"/>
      <c r="G2" s="77"/>
      <c r="H2" s="77"/>
      <c r="I2" s="77"/>
      <c r="J2" s="77"/>
      <c r="K2" s="77"/>
      <c r="L2" s="77"/>
      <c r="M2" s="77"/>
      <c r="N2" s="77"/>
      <c r="O2" s="77"/>
      <c r="P2" s="77"/>
      <c r="Q2" s="77"/>
      <c r="R2" s="77"/>
      <c r="S2" s="77"/>
      <c r="T2" s="77"/>
      <c r="U2" s="77"/>
      <c r="V2" s="77"/>
      <c r="W2" s="78"/>
    </row>
    <row r="3" spans="1:23" ht="15.75" customHeight="1" x14ac:dyDescent="0.25">
      <c r="A3" s="60" t="str">
        <f>IF(RawData!C2="","",RawData!C2)</f>
        <v/>
      </c>
      <c r="B3" s="61" t="str">
        <f>IF(HOUR(RawData!K2)=0,"",HOUR(RawData!K2))</f>
        <v/>
      </c>
      <c r="C3" s="62" t="str">
        <f>IF(MINUTE(RawData!K2)=0,"",MINUTE(RawData!K2))</f>
        <v/>
      </c>
      <c r="D3" s="68" t="str">
        <f>IF(OR(CONCATENATE(B3,C3)="",CONCATENATE(B3,C3)="00")=TRUE,"",9)</f>
        <v/>
      </c>
      <c r="E3" s="69" t="str">
        <f>IF(OR(CONCATENATE(B3,C3)="",CONCATENATE(B3,C3)="00")=TRUE,"",15)</f>
        <v/>
      </c>
    </row>
    <row r="4" spans="1:23" ht="15.75" customHeight="1" thickBot="1" x14ac:dyDescent="0.3">
      <c r="A4" s="60" t="str">
        <f>IF(RawData!C3="","",RawData!C3)</f>
        <v/>
      </c>
      <c r="B4" s="63" t="str">
        <f>IF(HOUR(RawData!K3)=0,"",HOUR(RawData!K3))</f>
        <v/>
      </c>
      <c r="C4" s="64" t="str">
        <f>IF(MINUTE(RawData!K3)=0,"",MINUTE(RawData!K3))</f>
        <v/>
      </c>
      <c r="D4" s="52" t="str">
        <f t="shared" ref="D4:D67" si="0">IF(OR(CONCATENATE(B4,C4)="",CONCATENATE(B4,C4)="00")=TRUE,"",9)</f>
        <v/>
      </c>
      <c r="E4" s="53" t="str">
        <f t="shared" ref="E4:E67" si="1">IF(OR(CONCATENATE(B4,C4)="",CONCATENATE(B4,C4)="00")=TRUE,"",15)</f>
        <v/>
      </c>
    </row>
    <row r="5" spans="1:23" ht="15.75" customHeight="1" x14ac:dyDescent="0.25">
      <c r="A5" s="60" t="str">
        <f>IF(RawData!C4="","",RawData!C4)</f>
        <v/>
      </c>
      <c r="B5" s="63" t="str">
        <f>IF(HOUR(RawData!K4)=0,"",HOUR(RawData!K4))</f>
        <v/>
      </c>
      <c r="C5" s="64" t="str">
        <f>IF(MINUTE(RawData!K4)=0,"",MINUTE(RawData!K4))</f>
        <v/>
      </c>
      <c r="D5" s="52" t="str">
        <f t="shared" si="0"/>
        <v/>
      </c>
      <c r="E5" s="53" t="str">
        <f t="shared" si="1"/>
        <v/>
      </c>
      <c r="N5" s="79" t="s">
        <v>23</v>
      </c>
      <c r="O5" s="56" t="s">
        <v>13</v>
      </c>
      <c r="P5" s="72"/>
      <c r="Q5" s="56" t="s">
        <v>14</v>
      </c>
      <c r="R5" s="72"/>
    </row>
    <row r="6" spans="1:23" ht="15.75" customHeight="1" thickBot="1" x14ac:dyDescent="0.3">
      <c r="A6" s="60" t="str">
        <f>IF(RawData!C5="","",RawData!C5)</f>
        <v/>
      </c>
      <c r="B6" s="63" t="str">
        <f>IF(HOUR(RawData!K5)=0,"",HOUR(RawData!K5))</f>
        <v/>
      </c>
      <c r="C6" s="64" t="str">
        <f>IF(MINUTE(RawData!K5)=0,"",MINUTE(RawData!K5))</f>
        <v/>
      </c>
      <c r="D6" s="52" t="str">
        <f t="shared" si="0"/>
        <v/>
      </c>
      <c r="E6" s="53" t="str">
        <f t="shared" si="1"/>
        <v/>
      </c>
      <c r="N6" s="80"/>
      <c r="O6" s="57" t="s">
        <v>15</v>
      </c>
      <c r="P6" s="58" t="s">
        <v>16</v>
      </c>
      <c r="Q6" s="57" t="s">
        <v>15</v>
      </c>
      <c r="R6" s="58" t="s">
        <v>16</v>
      </c>
    </row>
    <row r="7" spans="1:23" ht="15.75" customHeight="1" thickBot="1" x14ac:dyDescent="0.3">
      <c r="A7" s="60" t="str">
        <f>IF(RawData!C6="","",RawData!C6)</f>
        <v/>
      </c>
      <c r="B7" s="63" t="str">
        <f>IF(HOUR(RawData!K6)=0,"",HOUR(RawData!K6))</f>
        <v/>
      </c>
      <c r="C7" s="64" t="str">
        <f>IF(MINUTE(RawData!K6)=0,"",MINUTE(RawData!K6))</f>
        <v/>
      </c>
      <c r="D7" s="52" t="str">
        <f t="shared" si="0"/>
        <v/>
      </c>
      <c r="E7" s="53" t="str">
        <f t="shared" si="1"/>
        <v/>
      </c>
      <c r="N7" s="25" t="s">
        <v>18</v>
      </c>
      <c r="O7" s="49">
        <f>SUM(B3:B368)</f>
        <v>0</v>
      </c>
      <c r="P7" s="50">
        <f>SUM(C3:C368)</f>
        <v>0</v>
      </c>
      <c r="Q7" s="50">
        <f>SUM(D3:D368)</f>
        <v>0</v>
      </c>
      <c r="R7" s="51">
        <f>SUM(E3:E368)</f>
        <v>0</v>
      </c>
    </row>
    <row r="8" spans="1:23" ht="15.75" customHeight="1" thickBot="1" x14ac:dyDescent="0.3">
      <c r="A8" s="60" t="str">
        <f>IF(RawData!C7="","",RawData!C7)</f>
        <v/>
      </c>
      <c r="B8" s="63" t="str">
        <f>IF(HOUR(RawData!K7)=0,"",HOUR(RawData!K7))</f>
        <v/>
      </c>
      <c r="C8" s="64" t="str">
        <f>IF(MINUTE(RawData!K7)=0,"",MINUTE(RawData!K7))</f>
        <v/>
      </c>
      <c r="D8" s="52" t="str">
        <f t="shared" si="0"/>
        <v/>
      </c>
      <c r="E8" s="53" t="str">
        <f t="shared" si="1"/>
        <v/>
      </c>
      <c r="N8" s="25" t="s">
        <v>19</v>
      </c>
      <c r="O8" s="52">
        <f>+O7+ROUNDDOWN(P7/60,0)</f>
        <v>0</v>
      </c>
      <c r="P8" s="23">
        <f>MOD(P7,60)</f>
        <v>0</v>
      </c>
      <c r="Q8" s="23">
        <f>+Q7+ROUNDDOWN(R7/60,0)</f>
        <v>0</v>
      </c>
      <c r="R8" s="53">
        <f>MOD(R7,60)</f>
        <v>0</v>
      </c>
    </row>
    <row r="9" spans="1:23" ht="15.75" customHeight="1" thickBot="1" x14ac:dyDescent="0.3">
      <c r="A9" s="60" t="str">
        <f>IF(RawData!C8="","",RawData!C8)</f>
        <v/>
      </c>
      <c r="B9" s="63" t="str">
        <f>IF(HOUR(RawData!K8)=0,"",HOUR(RawData!K8))</f>
        <v/>
      </c>
      <c r="C9" s="64" t="str">
        <f>IF(MINUTE(RawData!K8)=0,"",MINUTE(RawData!K8))</f>
        <v/>
      </c>
      <c r="D9" s="52" t="str">
        <f t="shared" si="0"/>
        <v/>
      </c>
      <c r="E9" s="53" t="str">
        <f t="shared" si="1"/>
        <v/>
      </c>
      <c r="N9" s="25" t="s">
        <v>21</v>
      </c>
      <c r="O9" s="47" t="str">
        <f>IF((CONCATENATE(O8,,".",RIGHT(CONCATENATE("0",P8),2)))*1&gt;(CONCATENATE(Q8,,".",RIGHT(CONCATENATE("0",R8),2)))*1,"Worked More","Worked Less")</f>
        <v>Worked Less</v>
      </c>
      <c r="P9" s="48"/>
      <c r="Q9" s="24">
        <f>(Q10-(O10+1))+ROUNDDOWN(((60-P10)+R10)/60,0)</f>
        <v>0</v>
      </c>
      <c r="R9" s="24">
        <f>MOD((60-P10)+R10,60)</f>
        <v>0</v>
      </c>
    </row>
    <row r="10" spans="1:23" ht="15.75" customHeight="1" thickBot="1" x14ac:dyDescent="0.3">
      <c r="A10" s="60" t="str">
        <f>IF(RawData!C9="","",RawData!C9)</f>
        <v/>
      </c>
      <c r="B10" s="63" t="str">
        <f>IF(HOUR(RawData!K9)=0,"",HOUR(RawData!K9))</f>
        <v/>
      </c>
      <c r="C10" s="64" t="str">
        <f>IF(MINUTE(RawData!K9)=0,"",MINUTE(RawData!K9))</f>
        <v/>
      </c>
      <c r="D10" s="52" t="str">
        <f t="shared" si="0"/>
        <v/>
      </c>
      <c r="E10" s="53" t="str">
        <f t="shared" si="1"/>
        <v/>
      </c>
      <c r="N10" s="39" t="s">
        <v>20</v>
      </c>
      <c r="O10" s="40">
        <f>IF((CONCATENATE(O8,,".",RIGHT(CONCATENATE("0",P8),2)))*1&gt;(CONCATENATE(Q8,,".",RIGHT(CONCATENATE("0",R8),2)))*1,Q8,O8)</f>
        <v>0</v>
      </c>
      <c r="P10" s="40">
        <f>IF((CONCATENATE(O8,,".",RIGHT(CONCATENATE("0",P8),2)))*1&gt;(CONCATENATE(Q8,,".",RIGHT(CONCATENATE("0",R8),2)))*1,R8,P8)</f>
        <v>0</v>
      </c>
      <c r="Q10" s="40">
        <f>IF((CONCATENATE(O8,,".",RIGHT(CONCATENATE("0",P8),2)))*1&gt;(CONCATENATE(Q8,,".",RIGHT(CONCATENATE("0",R8),2)))*1,O8,Q8)</f>
        <v>0</v>
      </c>
      <c r="R10" s="40">
        <f>IF((CONCATENATE(O8,,".",RIGHT(CONCATENATE("0",P8),2)))*1&gt;(CONCATENATE(Q8,,".",RIGHT(CONCATENATE("0",R8),2)))*1,P8,R8)</f>
        <v>0</v>
      </c>
    </row>
    <row r="11" spans="1:23" ht="15.75" customHeight="1" x14ac:dyDescent="0.25">
      <c r="A11" s="60" t="str">
        <f>IF(RawData!C10="","",RawData!C10)</f>
        <v/>
      </c>
      <c r="B11" s="63" t="str">
        <f>IF(HOUR(RawData!K10)=0,"",HOUR(RawData!K10))</f>
        <v/>
      </c>
      <c r="C11" s="64" t="str">
        <f>IF(MINUTE(RawData!K10)=0,"",MINUTE(RawData!K10))</f>
        <v/>
      </c>
      <c r="D11" s="52" t="str">
        <f t="shared" si="0"/>
        <v/>
      </c>
      <c r="E11" s="53" t="str">
        <f t="shared" si="1"/>
        <v/>
      </c>
      <c r="N11" s="81" t="s">
        <v>24</v>
      </c>
      <c r="O11" s="82"/>
      <c r="P11" s="82"/>
      <c r="Q11" s="82"/>
      <c r="R11" s="83"/>
    </row>
    <row r="12" spans="1:23" ht="15.75" customHeight="1" thickBot="1" x14ac:dyDescent="0.3">
      <c r="A12" s="60" t="str">
        <f>IF(RawData!C11="","",RawData!C11)</f>
        <v/>
      </c>
      <c r="B12" s="63" t="str">
        <f>IF(HOUR(RawData!K11)=0,"",HOUR(RawData!K11))</f>
        <v/>
      </c>
      <c r="C12" s="64" t="str">
        <f>IF(MINUTE(RawData!K11)=0,"",MINUTE(RawData!K11))</f>
        <v/>
      </c>
      <c r="D12" s="52" t="str">
        <f t="shared" si="0"/>
        <v/>
      </c>
      <c r="E12" s="53" t="str">
        <f t="shared" si="1"/>
        <v/>
      </c>
      <c r="N12" s="84"/>
      <c r="O12" s="85"/>
      <c r="P12" s="85"/>
      <c r="Q12" s="85"/>
      <c r="R12" s="86"/>
    </row>
    <row r="13" spans="1:23" ht="15.75" customHeight="1" thickBot="1" x14ac:dyDescent="0.3">
      <c r="A13" s="60" t="str">
        <f>IF(RawData!C12="","",RawData!C12)</f>
        <v/>
      </c>
      <c r="B13" s="63" t="str">
        <f>IF(HOUR(RawData!K12)=0,"",HOUR(RawData!K12))</f>
        <v/>
      </c>
      <c r="C13" s="64" t="str">
        <f>IF(MINUTE(RawData!K12)=0,"",MINUTE(RawData!K12))</f>
        <v/>
      </c>
      <c r="D13" s="52" t="str">
        <f t="shared" si="0"/>
        <v/>
      </c>
      <c r="E13" s="53" t="str">
        <f t="shared" si="1"/>
        <v/>
      </c>
      <c r="H13" s="41" t="s">
        <v>17</v>
      </c>
      <c r="I13" s="42"/>
      <c r="J13" s="42"/>
      <c r="K13" s="43"/>
    </row>
    <row r="14" spans="1:23" ht="15.75" customHeight="1" thickBot="1" x14ac:dyDescent="0.3">
      <c r="A14" s="60" t="str">
        <f>IF(RawData!C13="","",RawData!C13)</f>
        <v/>
      </c>
      <c r="B14" s="63" t="str">
        <f>IF(HOUR(RawData!K13)=0,"",HOUR(RawData!K13))</f>
        <v/>
      </c>
      <c r="C14" s="64" t="str">
        <f>IF(MINUTE(RawData!K13)=0,"",MINUTE(RawData!K13))</f>
        <v/>
      </c>
      <c r="D14" s="52" t="str">
        <f t="shared" si="0"/>
        <v/>
      </c>
      <c r="E14" s="53" t="str">
        <f t="shared" si="1"/>
        <v/>
      </c>
      <c r="H14" s="44"/>
      <c r="I14" s="45"/>
      <c r="J14" s="45"/>
      <c r="K14" s="46"/>
    </row>
    <row r="15" spans="1:23" ht="15.75" customHeight="1" x14ac:dyDescent="0.25">
      <c r="A15" s="60" t="str">
        <f>IF(RawData!C14="","",RawData!C14)</f>
        <v/>
      </c>
      <c r="B15" s="63" t="str">
        <f>IF(HOUR(RawData!K14)=0,"",HOUR(RawData!K14))</f>
        <v/>
      </c>
      <c r="C15" s="64" t="str">
        <f>IF(MINUTE(RawData!K14)=0,"",MINUTE(RawData!K14))</f>
        <v/>
      </c>
      <c r="D15" s="52" t="str">
        <f t="shared" si="0"/>
        <v/>
      </c>
      <c r="E15" s="53" t="str">
        <f t="shared" si="1"/>
        <v/>
      </c>
    </row>
    <row r="16" spans="1:23" ht="15.75" customHeight="1" x14ac:dyDescent="0.25">
      <c r="A16" s="60" t="str">
        <f>IF(RawData!C15="","",RawData!C15)</f>
        <v/>
      </c>
      <c r="B16" s="63" t="str">
        <f>IF(HOUR(RawData!K15)=0,"",HOUR(RawData!K15))</f>
        <v/>
      </c>
      <c r="C16" s="64" t="str">
        <f>IF(MINUTE(RawData!K15)=0,"",MINUTE(RawData!K15))</f>
        <v/>
      </c>
      <c r="D16" s="52" t="str">
        <f t="shared" si="0"/>
        <v/>
      </c>
      <c r="E16" s="53" t="str">
        <f t="shared" si="1"/>
        <v/>
      </c>
    </row>
    <row r="17" spans="1:7" ht="15.75" customHeight="1" x14ac:dyDescent="0.25">
      <c r="A17" s="60" t="str">
        <f>IF(RawData!C16="","",RawData!C16)</f>
        <v/>
      </c>
      <c r="B17" s="63" t="str">
        <f>IF(HOUR(RawData!K16)=0,"",HOUR(RawData!K16))</f>
        <v/>
      </c>
      <c r="C17" s="64" t="str">
        <f>IF(MINUTE(RawData!K16)=0,"",MINUTE(RawData!K16))</f>
        <v/>
      </c>
      <c r="D17" s="52" t="str">
        <f t="shared" si="0"/>
        <v/>
      </c>
      <c r="E17" s="53" t="str">
        <f t="shared" si="1"/>
        <v/>
      </c>
    </row>
    <row r="18" spans="1:7" ht="15.75" customHeight="1" x14ac:dyDescent="0.25">
      <c r="A18" s="60" t="str">
        <f>IF(RawData!C17="","",RawData!C17)</f>
        <v/>
      </c>
      <c r="B18" s="63" t="str">
        <f>IF(HOUR(RawData!K17)=0,"",HOUR(RawData!K17))</f>
        <v/>
      </c>
      <c r="C18" s="64" t="str">
        <f>IF(MINUTE(RawData!K17)=0,"",MINUTE(RawData!K17))</f>
        <v/>
      </c>
      <c r="D18" s="52" t="str">
        <f t="shared" si="0"/>
        <v/>
      </c>
      <c r="E18" s="53" t="str">
        <f t="shared" si="1"/>
        <v/>
      </c>
    </row>
    <row r="19" spans="1:7" ht="15.75" customHeight="1" x14ac:dyDescent="0.25">
      <c r="A19" s="60" t="str">
        <f>IF(RawData!C18="","",RawData!C18)</f>
        <v/>
      </c>
      <c r="B19" s="63" t="str">
        <f>IF(HOUR(RawData!K18)=0,"",HOUR(RawData!K18))</f>
        <v/>
      </c>
      <c r="C19" s="64" t="str">
        <f>IF(MINUTE(RawData!K18)=0,"",MINUTE(RawData!K18))</f>
        <v/>
      </c>
      <c r="D19" s="52" t="str">
        <f t="shared" si="0"/>
        <v/>
      </c>
      <c r="E19" s="53" t="str">
        <f t="shared" si="1"/>
        <v/>
      </c>
    </row>
    <row r="20" spans="1:7" ht="15.75" customHeight="1" x14ac:dyDescent="0.25">
      <c r="A20" s="60" t="str">
        <f>IF(RawData!C19="","",RawData!C19)</f>
        <v/>
      </c>
      <c r="B20" s="63" t="str">
        <f>IF(HOUR(RawData!K19)=0,"",HOUR(RawData!K19))</f>
        <v/>
      </c>
      <c r="C20" s="64" t="str">
        <f>IF(MINUTE(RawData!K19)=0,"",MINUTE(RawData!K19))</f>
        <v/>
      </c>
      <c r="D20" s="52" t="str">
        <f t="shared" si="0"/>
        <v/>
      </c>
      <c r="E20" s="53" t="str">
        <f t="shared" si="1"/>
        <v/>
      </c>
    </row>
    <row r="21" spans="1:7" ht="15.75" customHeight="1" x14ac:dyDescent="0.25">
      <c r="A21" s="60" t="str">
        <f>IF(RawData!C20="","",RawData!C20)</f>
        <v/>
      </c>
      <c r="B21" s="63" t="str">
        <f>IF(HOUR(RawData!K20)=0,"",HOUR(RawData!K20))</f>
        <v/>
      </c>
      <c r="C21" s="64" t="str">
        <f>IF(MINUTE(RawData!K20)=0,"",MINUTE(RawData!K20))</f>
        <v/>
      </c>
      <c r="D21" s="52" t="str">
        <f t="shared" si="0"/>
        <v/>
      </c>
      <c r="E21" s="53" t="str">
        <f t="shared" si="1"/>
        <v/>
      </c>
    </row>
    <row r="22" spans="1:7" ht="15.75" customHeight="1" x14ac:dyDescent="0.25">
      <c r="A22" s="60" t="str">
        <f>IF(RawData!C21="","",RawData!C21)</f>
        <v/>
      </c>
      <c r="B22" s="63" t="str">
        <f>IF(HOUR(RawData!K21)=0,"",HOUR(RawData!K21))</f>
        <v/>
      </c>
      <c r="C22" s="64" t="str">
        <f>IF(MINUTE(RawData!K21)=0,"",MINUTE(RawData!K21))</f>
        <v/>
      </c>
      <c r="D22" s="52" t="str">
        <f t="shared" si="0"/>
        <v/>
      </c>
      <c r="E22" s="53" t="str">
        <f t="shared" si="1"/>
        <v/>
      </c>
    </row>
    <row r="23" spans="1:7" ht="15.75" customHeight="1" x14ac:dyDescent="0.25">
      <c r="A23" s="60" t="str">
        <f>IF(RawData!C22="","",RawData!C22)</f>
        <v/>
      </c>
      <c r="B23" s="63" t="str">
        <f>IF(HOUR(RawData!K22)=0,"",HOUR(RawData!K22))</f>
        <v/>
      </c>
      <c r="C23" s="64" t="str">
        <f>IF(MINUTE(RawData!K22)=0,"",MINUTE(RawData!K22))</f>
        <v/>
      </c>
      <c r="D23" s="52" t="str">
        <f t="shared" si="0"/>
        <v/>
      </c>
      <c r="E23" s="53" t="str">
        <f t="shared" si="1"/>
        <v/>
      </c>
    </row>
    <row r="24" spans="1:7" ht="15.75" customHeight="1" x14ac:dyDescent="0.25">
      <c r="A24" s="60" t="str">
        <f>IF(RawData!C23="","",RawData!C23)</f>
        <v/>
      </c>
      <c r="B24" s="63" t="str">
        <f>IF(HOUR(RawData!K23)=0,"",HOUR(RawData!K23))</f>
        <v/>
      </c>
      <c r="C24" s="64" t="str">
        <f>IF(MINUTE(RawData!K23)=0,"",MINUTE(RawData!K23))</f>
        <v/>
      </c>
      <c r="D24" s="52" t="str">
        <f t="shared" si="0"/>
        <v/>
      </c>
      <c r="E24" s="53" t="str">
        <f t="shared" si="1"/>
        <v/>
      </c>
    </row>
    <row r="25" spans="1:7" ht="15.75" customHeight="1" x14ac:dyDescent="0.25">
      <c r="A25" s="60" t="str">
        <f>IF(RawData!C24="","",RawData!C24)</f>
        <v/>
      </c>
      <c r="B25" s="63" t="str">
        <f>IF(HOUR(RawData!K24)=0,"",HOUR(RawData!K24))</f>
        <v/>
      </c>
      <c r="C25" s="64" t="str">
        <f>IF(MINUTE(RawData!K24)=0,"",MINUTE(RawData!K24))</f>
        <v/>
      </c>
      <c r="D25" s="52" t="str">
        <f t="shared" si="0"/>
        <v/>
      </c>
      <c r="E25" s="53" t="str">
        <f t="shared" si="1"/>
        <v/>
      </c>
    </row>
    <row r="26" spans="1:7" ht="15.75" customHeight="1" x14ac:dyDescent="0.25">
      <c r="A26" s="60" t="str">
        <f>IF(RawData!C25="","",RawData!C25)</f>
        <v/>
      </c>
      <c r="B26" s="63" t="str">
        <f>IF(HOUR(RawData!K25)=0,"",HOUR(RawData!K25))</f>
        <v/>
      </c>
      <c r="C26" s="64" t="str">
        <f>IF(MINUTE(RawData!K25)=0,"",MINUTE(RawData!K25))</f>
        <v/>
      </c>
      <c r="D26" s="52" t="str">
        <f t="shared" si="0"/>
        <v/>
      </c>
      <c r="E26" s="53" t="str">
        <f t="shared" si="1"/>
        <v/>
      </c>
    </row>
    <row r="27" spans="1:7" ht="15.75" customHeight="1" x14ac:dyDescent="0.25">
      <c r="A27" s="60" t="str">
        <f>IF(RawData!C26="","",RawData!C26)</f>
        <v/>
      </c>
      <c r="B27" s="63" t="str">
        <f>IF(HOUR(RawData!K26)=0,"",HOUR(RawData!K26))</f>
        <v/>
      </c>
      <c r="C27" s="64" t="str">
        <f>IF(MINUTE(RawData!K26)=0,"",MINUTE(RawData!K26))</f>
        <v/>
      </c>
      <c r="D27" s="52" t="str">
        <f t="shared" si="0"/>
        <v/>
      </c>
      <c r="E27" s="53" t="str">
        <f t="shared" si="1"/>
        <v/>
      </c>
    </row>
    <row r="28" spans="1:7" ht="15.75" customHeight="1" x14ac:dyDescent="0.25">
      <c r="A28" s="60" t="str">
        <f>IF(RawData!C27="","",RawData!C27)</f>
        <v/>
      </c>
      <c r="B28" s="63" t="str">
        <f>IF(HOUR(RawData!K27)=0,"",HOUR(RawData!K27))</f>
        <v/>
      </c>
      <c r="C28" s="64" t="str">
        <f>IF(MINUTE(RawData!K27)=0,"",MINUTE(RawData!K27))</f>
        <v/>
      </c>
      <c r="D28" s="52" t="str">
        <f t="shared" si="0"/>
        <v/>
      </c>
      <c r="E28" s="53" t="str">
        <f t="shared" si="1"/>
        <v/>
      </c>
    </row>
    <row r="29" spans="1:7" ht="15.75" customHeight="1" x14ac:dyDescent="0.25">
      <c r="A29" s="60" t="str">
        <f>IF(RawData!C28="","",RawData!C28)</f>
        <v/>
      </c>
      <c r="B29" s="63" t="str">
        <f>IF(HOUR(RawData!K28)=0,"",HOUR(RawData!K28))</f>
        <v/>
      </c>
      <c r="C29" s="64" t="str">
        <f>IF(MINUTE(RawData!K28)=0,"",MINUTE(RawData!K28))</f>
        <v/>
      </c>
      <c r="D29" s="52" t="str">
        <f t="shared" si="0"/>
        <v/>
      </c>
      <c r="E29" s="53" t="str">
        <f t="shared" si="1"/>
        <v/>
      </c>
    </row>
    <row r="30" spans="1:7" ht="15.75" customHeight="1" x14ac:dyDescent="0.25">
      <c r="A30" s="60" t="str">
        <f>IF(RawData!C29="","",RawData!C29)</f>
        <v/>
      </c>
      <c r="B30" s="63" t="str">
        <f>IF(HOUR(RawData!K29)=0,"",HOUR(RawData!K29))</f>
        <v/>
      </c>
      <c r="C30" s="64" t="str">
        <f>IF(MINUTE(RawData!K29)=0,"",MINUTE(RawData!K29))</f>
        <v/>
      </c>
      <c r="D30" s="52" t="str">
        <f t="shared" si="0"/>
        <v/>
      </c>
      <c r="E30" s="53" t="str">
        <f t="shared" si="1"/>
        <v/>
      </c>
    </row>
    <row r="31" spans="1:7" ht="15.75" customHeight="1" x14ac:dyDescent="0.25">
      <c r="A31" s="60" t="str">
        <f>IF(RawData!C30="","",RawData!C30)</f>
        <v/>
      </c>
      <c r="B31" s="63" t="str">
        <f>IF(HOUR(RawData!K30)=0,"",HOUR(RawData!K30))</f>
        <v/>
      </c>
      <c r="C31" s="64" t="str">
        <f>IF(MINUTE(RawData!K30)=0,"",MINUTE(RawData!K30))</f>
        <v/>
      </c>
      <c r="D31" s="52" t="str">
        <f t="shared" si="0"/>
        <v/>
      </c>
      <c r="E31" s="53" t="str">
        <f t="shared" si="1"/>
        <v/>
      </c>
      <c r="G31" s="37"/>
    </row>
    <row r="32" spans="1:7" ht="15.75" customHeight="1" x14ac:dyDescent="0.25">
      <c r="A32" s="60" t="str">
        <f>IF(RawData!C31="","",RawData!C31)</f>
        <v/>
      </c>
      <c r="B32" s="63" t="str">
        <f>IF(HOUR(RawData!K31)=0,"",HOUR(RawData!K31))</f>
        <v/>
      </c>
      <c r="C32" s="64" t="str">
        <f>IF(MINUTE(RawData!K31)=0,"",MINUTE(RawData!K31))</f>
        <v/>
      </c>
      <c r="D32" s="52" t="str">
        <f t="shared" si="0"/>
        <v/>
      </c>
      <c r="E32" s="53" t="str">
        <f t="shared" si="1"/>
        <v/>
      </c>
    </row>
    <row r="33" spans="1:5" ht="15.75" customHeight="1" x14ac:dyDescent="0.25">
      <c r="A33" s="60" t="str">
        <f>IF(RawData!C32="","",RawData!C32)</f>
        <v/>
      </c>
      <c r="B33" s="63" t="str">
        <f>IF(HOUR(RawData!K32)=0,"",HOUR(RawData!K32))</f>
        <v/>
      </c>
      <c r="C33" s="64" t="str">
        <f>IF(MINUTE(RawData!K32)=0,"",MINUTE(RawData!K32))</f>
        <v/>
      </c>
      <c r="D33" s="52" t="str">
        <f t="shared" si="0"/>
        <v/>
      </c>
      <c r="E33" s="53" t="str">
        <f t="shared" si="1"/>
        <v/>
      </c>
    </row>
    <row r="34" spans="1:5" ht="15.75" customHeight="1" x14ac:dyDescent="0.25">
      <c r="A34" s="60" t="str">
        <f>IF(RawData!C33="","",RawData!C33)</f>
        <v/>
      </c>
      <c r="B34" s="63" t="str">
        <f>IF(HOUR(RawData!K33)=0,"",HOUR(RawData!K33))</f>
        <v/>
      </c>
      <c r="C34" s="64" t="str">
        <f>IF(MINUTE(RawData!K33)=0,"",MINUTE(RawData!K33))</f>
        <v/>
      </c>
      <c r="D34" s="52" t="str">
        <f t="shared" si="0"/>
        <v/>
      </c>
      <c r="E34" s="53" t="str">
        <f t="shared" si="1"/>
        <v/>
      </c>
    </row>
    <row r="35" spans="1:5" ht="15.75" customHeight="1" x14ac:dyDescent="0.25">
      <c r="A35" s="60" t="str">
        <f>IF(RawData!C34="","",RawData!C34)</f>
        <v/>
      </c>
      <c r="B35" s="63" t="str">
        <f>IF(HOUR(RawData!K34)=0,"",HOUR(RawData!K34))</f>
        <v/>
      </c>
      <c r="C35" s="64" t="str">
        <f>IF(MINUTE(RawData!K34)=0,"",MINUTE(RawData!K34))</f>
        <v/>
      </c>
      <c r="D35" s="52" t="str">
        <f t="shared" si="0"/>
        <v/>
      </c>
      <c r="E35" s="53" t="str">
        <f t="shared" si="1"/>
        <v/>
      </c>
    </row>
    <row r="36" spans="1:5" ht="15.75" customHeight="1" x14ac:dyDescent="0.25">
      <c r="A36" s="60" t="str">
        <f>IF(RawData!C35="","",RawData!C35)</f>
        <v/>
      </c>
      <c r="B36" s="63" t="str">
        <f>IF(HOUR(RawData!K35)=0,"",HOUR(RawData!K35))</f>
        <v/>
      </c>
      <c r="C36" s="64" t="str">
        <f>IF(MINUTE(RawData!K35)=0,"",MINUTE(RawData!K35))</f>
        <v/>
      </c>
      <c r="D36" s="52" t="str">
        <f t="shared" si="0"/>
        <v/>
      </c>
      <c r="E36" s="53" t="str">
        <f t="shared" si="1"/>
        <v/>
      </c>
    </row>
    <row r="37" spans="1:5" ht="15.75" customHeight="1" x14ac:dyDescent="0.25">
      <c r="A37" s="60" t="str">
        <f>IF(RawData!C36="","",RawData!C36)</f>
        <v/>
      </c>
      <c r="B37" s="63" t="str">
        <f>IF(HOUR(RawData!K36)=0,"",HOUR(RawData!K36))</f>
        <v/>
      </c>
      <c r="C37" s="64" t="str">
        <f>IF(MINUTE(RawData!K36)=0,"",MINUTE(RawData!K36))</f>
        <v/>
      </c>
      <c r="D37" s="52" t="str">
        <f t="shared" si="0"/>
        <v/>
      </c>
      <c r="E37" s="53" t="str">
        <f t="shared" si="1"/>
        <v/>
      </c>
    </row>
    <row r="38" spans="1:5" ht="15.75" customHeight="1" x14ac:dyDescent="0.25">
      <c r="A38" s="60" t="str">
        <f>IF(RawData!C37="","",RawData!C37)</f>
        <v/>
      </c>
      <c r="B38" s="63" t="str">
        <f>IF(HOUR(RawData!K37)=0,"",HOUR(RawData!K37))</f>
        <v/>
      </c>
      <c r="C38" s="64" t="str">
        <f>IF(MINUTE(RawData!K37)=0,"",MINUTE(RawData!K37))</f>
        <v/>
      </c>
      <c r="D38" s="52" t="str">
        <f t="shared" si="0"/>
        <v/>
      </c>
      <c r="E38" s="53" t="str">
        <f t="shared" si="1"/>
        <v/>
      </c>
    </row>
    <row r="39" spans="1:5" ht="15.75" customHeight="1" x14ac:dyDescent="0.25">
      <c r="A39" s="60" t="str">
        <f>IF(RawData!C38="","",RawData!C38)</f>
        <v/>
      </c>
      <c r="B39" s="63" t="str">
        <f>IF(HOUR(RawData!K38)=0,"",HOUR(RawData!K38))</f>
        <v/>
      </c>
      <c r="C39" s="64" t="str">
        <f>IF(MINUTE(RawData!K38)=0,"",MINUTE(RawData!K38))</f>
        <v/>
      </c>
      <c r="D39" s="52" t="str">
        <f t="shared" si="0"/>
        <v/>
      </c>
      <c r="E39" s="53" t="str">
        <f t="shared" si="1"/>
        <v/>
      </c>
    </row>
    <row r="40" spans="1:5" ht="15.75" customHeight="1" x14ac:dyDescent="0.25">
      <c r="A40" s="60" t="str">
        <f>IF(RawData!C39="","",RawData!C39)</f>
        <v/>
      </c>
      <c r="B40" s="63" t="str">
        <f>IF(HOUR(RawData!K39)=0,"",HOUR(RawData!K39))</f>
        <v/>
      </c>
      <c r="C40" s="64" t="str">
        <f>IF(MINUTE(RawData!K39)=0,"",MINUTE(RawData!K39))</f>
        <v/>
      </c>
      <c r="D40" s="52" t="str">
        <f t="shared" si="0"/>
        <v/>
      </c>
      <c r="E40" s="53" t="str">
        <f t="shared" si="1"/>
        <v/>
      </c>
    </row>
    <row r="41" spans="1:5" ht="15.75" customHeight="1" x14ac:dyDescent="0.25">
      <c r="A41" s="60" t="str">
        <f>IF(RawData!C40="","",RawData!C40)</f>
        <v/>
      </c>
      <c r="B41" s="63" t="str">
        <f>IF(HOUR(RawData!K40)=0,"",HOUR(RawData!K40))</f>
        <v/>
      </c>
      <c r="C41" s="64" t="str">
        <f>IF(MINUTE(RawData!K40)=0,"",MINUTE(RawData!K40))</f>
        <v/>
      </c>
      <c r="D41" s="52" t="str">
        <f t="shared" si="0"/>
        <v/>
      </c>
      <c r="E41" s="53" t="str">
        <f t="shared" si="1"/>
        <v/>
      </c>
    </row>
    <row r="42" spans="1:5" ht="15.75" customHeight="1" x14ac:dyDescent="0.25">
      <c r="A42" s="60" t="str">
        <f>IF(RawData!C41="","",RawData!C41)</f>
        <v/>
      </c>
      <c r="B42" s="63" t="str">
        <f>IF(HOUR(RawData!K41)=0,"",HOUR(RawData!K41))</f>
        <v/>
      </c>
      <c r="C42" s="64" t="str">
        <f>IF(MINUTE(RawData!K41)=0,"",MINUTE(RawData!K41))</f>
        <v/>
      </c>
      <c r="D42" s="52" t="str">
        <f t="shared" si="0"/>
        <v/>
      </c>
      <c r="E42" s="53" t="str">
        <f t="shared" si="1"/>
        <v/>
      </c>
    </row>
    <row r="43" spans="1:5" ht="15.75" customHeight="1" x14ac:dyDescent="0.25">
      <c r="A43" s="60" t="str">
        <f>IF(RawData!C42="","",RawData!C42)</f>
        <v/>
      </c>
      <c r="B43" s="63" t="str">
        <f>IF(HOUR(RawData!K42)=0,"",HOUR(RawData!K42))</f>
        <v/>
      </c>
      <c r="C43" s="64" t="str">
        <f>IF(MINUTE(RawData!K42)=0,"",MINUTE(RawData!K42))</f>
        <v/>
      </c>
      <c r="D43" s="52" t="str">
        <f t="shared" si="0"/>
        <v/>
      </c>
      <c r="E43" s="53" t="str">
        <f t="shared" si="1"/>
        <v/>
      </c>
    </row>
    <row r="44" spans="1:5" ht="15.75" customHeight="1" x14ac:dyDescent="0.25">
      <c r="A44" s="60" t="str">
        <f>IF(RawData!C43="","",RawData!C43)</f>
        <v/>
      </c>
      <c r="B44" s="63" t="str">
        <f>IF(HOUR(RawData!K43)=0,"",HOUR(RawData!K43))</f>
        <v/>
      </c>
      <c r="C44" s="64" t="str">
        <f>IF(MINUTE(RawData!K43)=0,"",MINUTE(RawData!K43))</f>
        <v/>
      </c>
      <c r="D44" s="52" t="str">
        <f t="shared" si="0"/>
        <v/>
      </c>
      <c r="E44" s="53" t="str">
        <f t="shared" si="1"/>
        <v/>
      </c>
    </row>
    <row r="45" spans="1:5" ht="15.75" customHeight="1" x14ac:dyDescent="0.25">
      <c r="A45" s="60" t="str">
        <f>IF(RawData!C44="","",RawData!C44)</f>
        <v/>
      </c>
      <c r="B45" s="63" t="str">
        <f>IF(HOUR(RawData!K44)=0,"",HOUR(RawData!K44))</f>
        <v/>
      </c>
      <c r="C45" s="64" t="str">
        <f>IF(MINUTE(RawData!K44)=0,"",MINUTE(RawData!K44))</f>
        <v/>
      </c>
      <c r="D45" s="52" t="str">
        <f t="shared" si="0"/>
        <v/>
      </c>
      <c r="E45" s="53" t="str">
        <f t="shared" si="1"/>
        <v/>
      </c>
    </row>
    <row r="46" spans="1:5" ht="15.75" customHeight="1" x14ac:dyDescent="0.25">
      <c r="A46" s="60" t="str">
        <f>IF(RawData!C45="","",RawData!C45)</f>
        <v/>
      </c>
      <c r="B46" s="63" t="str">
        <f>IF(HOUR(RawData!K45)=0,"",HOUR(RawData!K45))</f>
        <v/>
      </c>
      <c r="C46" s="64" t="str">
        <f>IF(MINUTE(RawData!K45)=0,"",MINUTE(RawData!K45))</f>
        <v/>
      </c>
      <c r="D46" s="52" t="str">
        <f t="shared" si="0"/>
        <v/>
      </c>
      <c r="E46" s="53" t="str">
        <f t="shared" si="1"/>
        <v/>
      </c>
    </row>
    <row r="47" spans="1:5" ht="15.75" customHeight="1" x14ac:dyDescent="0.25">
      <c r="A47" s="60" t="str">
        <f>IF(RawData!C46="","",RawData!C46)</f>
        <v/>
      </c>
      <c r="B47" s="63" t="str">
        <f>IF(HOUR(RawData!K46)=0,"",HOUR(RawData!K46))</f>
        <v/>
      </c>
      <c r="C47" s="64" t="str">
        <f>IF(MINUTE(RawData!K46)=0,"",MINUTE(RawData!K46))</f>
        <v/>
      </c>
      <c r="D47" s="52" t="str">
        <f t="shared" si="0"/>
        <v/>
      </c>
      <c r="E47" s="53" t="str">
        <f t="shared" si="1"/>
        <v/>
      </c>
    </row>
    <row r="48" spans="1:5" ht="15.75" customHeight="1" x14ac:dyDescent="0.25">
      <c r="A48" s="60" t="str">
        <f>IF(RawData!C47="","",RawData!C47)</f>
        <v/>
      </c>
      <c r="B48" s="63" t="str">
        <f>IF(HOUR(RawData!K47)=0,"",HOUR(RawData!K47))</f>
        <v/>
      </c>
      <c r="C48" s="64" t="str">
        <f>IF(MINUTE(RawData!K47)=0,"",MINUTE(RawData!K47))</f>
        <v/>
      </c>
      <c r="D48" s="52" t="str">
        <f t="shared" si="0"/>
        <v/>
      </c>
      <c r="E48" s="53" t="str">
        <f t="shared" si="1"/>
        <v/>
      </c>
    </row>
    <row r="49" spans="1:5" ht="15.75" customHeight="1" x14ac:dyDescent="0.25">
      <c r="A49" s="60" t="str">
        <f>IF(RawData!C48="","",RawData!C48)</f>
        <v/>
      </c>
      <c r="B49" s="63" t="str">
        <f>IF(HOUR(RawData!K48)=0,"",HOUR(RawData!K48))</f>
        <v/>
      </c>
      <c r="C49" s="64" t="str">
        <f>IF(MINUTE(RawData!K48)=0,"",MINUTE(RawData!K48))</f>
        <v/>
      </c>
      <c r="D49" s="52" t="str">
        <f t="shared" si="0"/>
        <v/>
      </c>
      <c r="E49" s="53" t="str">
        <f t="shared" si="1"/>
        <v/>
      </c>
    </row>
    <row r="50" spans="1:5" ht="15.75" customHeight="1" x14ac:dyDescent="0.25">
      <c r="A50" s="60" t="str">
        <f>IF(RawData!C49="","",RawData!C49)</f>
        <v/>
      </c>
      <c r="B50" s="63" t="str">
        <f>IF(HOUR(RawData!K49)=0,"",HOUR(RawData!K49))</f>
        <v/>
      </c>
      <c r="C50" s="64" t="str">
        <f>IF(MINUTE(RawData!K49)=0,"",MINUTE(RawData!K49))</f>
        <v/>
      </c>
      <c r="D50" s="52" t="str">
        <f t="shared" si="0"/>
        <v/>
      </c>
      <c r="E50" s="53" t="str">
        <f t="shared" si="1"/>
        <v/>
      </c>
    </row>
    <row r="51" spans="1:5" ht="15.75" customHeight="1" x14ac:dyDescent="0.25">
      <c r="A51" s="60" t="str">
        <f>IF(RawData!C50="","",RawData!C50)</f>
        <v/>
      </c>
      <c r="B51" s="63" t="str">
        <f>IF(HOUR(RawData!K50)=0,"",HOUR(RawData!K50))</f>
        <v/>
      </c>
      <c r="C51" s="64" t="str">
        <f>IF(MINUTE(RawData!K50)=0,"",MINUTE(RawData!K50))</f>
        <v/>
      </c>
      <c r="D51" s="52" t="str">
        <f t="shared" si="0"/>
        <v/>
      </c>
      <c r="E51" s="53" t="str">
        <f t="shared" si="1"/>
        <v/>
      </c>
    </row>
    <row r="52" spans="1:5" ht="15.75" customHeight="1" x14ac:dyDescent="0.25">
      <c r="A52" s="60" t="str">
        <f>IF(RawData!C51="","",RawData!C51)</f>
        <v/>
      </c>
      <c r="B52" s="63" t="str">
        <f>IF(HOUR(RawData!K51)=0,"",HOUR(RawData!K51))</f>
        <v/>
      </c>
      <c r="C52" s="64" t="str">
        <f>IF(MINUTE(RawData!K51)=0,"",MINUTE(RawData!K51))</f>
        <v/>
      </c>
      <c r="D52" s="52" t="str">
        <f t="shared" si="0"/>
        <v/>
      </c>
      <c r="E52" s="53" t="str">
        <f t="shared" si="1"/>
        <v/>
      </c>
    </row>
    <row r="53" spans="1:5" ht="15.75" customHeight="1" x14ac:dyDescent="0.25">
      <c r="A53" s="60" t="str">
        <f>IF(RawData!C52="","",RawData!C52)</f>
        <v/>
      </c>
      <c r="B53" s="63" t="str">
        <f>IF(HOUR(RawData!K52)=0,"",HOUR(RawData!K52))</f>
        <v/>
      </c>
      <c r="C53" s="64" t="str">
        <f>IF(MINUTE(RawData!K52)=0,"",MINUTE(RawData!K52))</f>
        <v/>
      </c>
      <c r="D53" s="52" t="str">
        <f t="shared" si="0"/>
        <v/>
      </c>
      <c r="E53" s="53" t="str">
        <f t="shared" si="1"/>
        <v/>
      </c>
    </row>
    <row r="54" spans="1:5" ht="15.75" customHeight="1" x14ac:dyDescent="0.25">
      <c r="A54" s="60" t="str">
        <f>IF(RawData!C53="","",RawData!C53)</f>
        <v/>
      </c>
      <c r="B54" s="63" t="str">
        <f>IF(HOUR(RawData!K53)=0,"",HOUR(RawData!K53))</f>
        <v/>
      </c>
      <c r="C54" s="64" t="str">
        <f>IF(MINUTE(RawData!K53)=0,"",MINUTE(RawData!K53))</f>
        <v/>
      </c>
      <c r="D54" s="52" t="str">
        <f t="shared" si="0"/>
        <v/>
      </c>
      <c r="E54" s="53" t="str">
        <f t="shared" si="1"/>
        <v/>
      </c>
    </row>
    <row r="55" spans="1:5" ht="15.75" customHeight="1" x14ac:dyDescent="0.25">
      <c r="A55" s="60" t="str">
        <f>IF(RawData!C54="","",RawData!C54)</f>
        <v/>
      </c>
      <c r="B55" s="63" t="str">
        <f>IF(HOUR(RawData!K54)=0,"",HOUR(RawData!K54))</f>
        <v/>
      </c>
      <c r="C55" s="64" t="str">
        <f>IF(MINUTE(RawData!K54)=0,"",MINUTE(RawData!K54))</f>
        <v/>
      </c>
      <c r="D55" s="52" t="str">
        <f t="shared" si="0"/>
        <v/>
      </c>
      <c r="E55" s="53" t="str">
        <f t="shared" si="1"/>
        <v/>
      </c>
    </row>
    <row r="56" spans="1:5" ht="15.75" customHeight="1" x14ac:dyDescent="0.25">
      <c r="A56" s="60" t="str">
        <f>IF(RawData!C55="","",RawData!C55)</f>
        <v/>
      </c>
      <c r="B56" s="63" t="str">
        <f>IF(HOUR(RawData!K55)=0,"",HOUR(RawData!K55))</f>
        <v/>
      </c>
      <c r="C56" s="64" t="str">
        <f>IF(MINUTE(RawData!K55)=0,"",MINUTE(RawData!K55))</f>
        <v/>
      </c>
      <c r="D56" s="52" t="str">
        <f t="shared" si="0"/>
        <v/>
      </c>
      <c r="E56" s="53" t="str">
        <f t="shared" si="1"/>
        <v/>
      </c>
    </row>
    <row r="57" spans="1:5" ht="15.75" customHeight="1" x14ac:dyDescent="0.25">
      <c r="A57" s="60" t="str">
        <f>IF(RawData!C56="","",RawData!C56)</f>
        <v/>
      </c>
      <c r="B57" s="63" t="str">
        <f>IF(HOUR(RawData!K56)=0,"",HOUR(RawData!K56))</f>
        <v/>
      </c>
      <c r="C57" s="64" t="str">
        <f>IF(MINUTE(RawData!K56)=0,"",MINUTE(RawData!K56))</f>
        <v/>
      </c>
      <c r="D57" s="52" t="str">
        <f t="shared" si="0"/>
        <v/>
      </c>
      <c r="E57" s="53" t="str">
        <f t="shared" si="1"/>
        <v/>
      </c>
    </row>
    <row r="58" spans="1:5" ht="15.75" customHeight="1" x14ac:dyDescent="0.25">
      <c r="A58" s="60" t="str">
        <f>IF(RawData!C57="","",RawData!C57)</f>
        <v/>
      </c>
      <c r="B58" s="63" t="str">
        <f>IF(HOUR(RawData!K57)=0,"",HOUR(RawData!K57))</f>
        <v/>
      </c>
      <c r="C58" s="64" t="str">
        <f>IF(MINUTE(RawData!K57)=0,"",MINUTE(RawData!K57))</f>
        <v/>
      </c>
      <c r="D58" s="52" t="str">
        <f t="shared" si="0"/>
        <v/>
      </c>
      <c r="E58" s="53" t="str">
        <f t="shared" si="1"/>
        <v/>
      </c>
    </row>
    <row r="59" spans="1:5" ht="15.75" customHeight="1" x14ac:dyDescent="0.25">
      <c r="A59" s="60" t="str">
        <f>IF(RawData!C58="","",RawData!C58)</f>
        <v/>
      </c>
      <c r="B59" s="63" t="str">
        <f>IF(HOUR(RawData!K58)=0,"",HOUR(RawData!K58))</f>
        <v/>
      </c>
      <c r="C59" s="64" t="str">
        <f>IF(MINUTE(RawData!K58)=0,"",MINUTE(RawData!K58))</f>
        <v/>
      </c>
      <c r="D59" s="52" t="str">
        <f t="shared" si="0"/>
        <v/>
      </c>
      <c r="E59" s="53" t="str">
        <f t="shared" si="1"/>
        <v/>
      </c>
    </row>
    <row r="60" spans="1:5" ht="15.75" customHeight="1" x14ac:dyDescent="0.25">
      <c r="A60" s="60" t="str">
        <f>IF(RawData!C59="","",RawData!C59)</f>
        <v/>
      </c>
      <c r="B60" s="63" t="str">
        <f>IF(HOUR(RawData!K59)=0,"",HOUR(RawData!K59))</f>
        <v/>
      </c>
      <c r="C60" s="64" t="str">
        <f>IF(MINUTE(RawData!K59)=0,"",MINUTE(RawData!K59))</f>
        <v/>
      </c>
      <c r="D60" s="52" t="str">
        <f t="shared" si="0"/>
        <v/>
      </c>
      <c r="E60" s="53" t="str">
        <f t="shared" si="1"/>
        <v/>
      </c>
    </row>
    <row r="61" spans="1:5" ht="15.75" customHeight="1" x14ac:dyDescent="0.25">
      <c r="A61" s="60" t="str">
        <f>IF(RawData!C60="","",RawData!C60)</f>
        <v/>
      </c>
      <c r="B61" s="63" t="str">
        <f>IF(HOUR(RawData!K60)=0,"",HOUR(RawData!K60))</f>
        <v/>
      </c>
      <c r="C61" s="64" t="str">
        <f>IF(MINUTE(RawData!K60)=0,"",MINUTE(RawData!K60))</f>
        <v/>
      </c>
      <c r="D61" s="52" t="str">
        <f t="shared" si="0"/>
        <v/>
      </c>
      <c r="E61" s="53" t="str">
        <f t="shared" si="1"/>
        <v/>
      </c>
    </row>
    <row r="62" spans="1:5" ht="15.75" customHeight="1" x14ac:dyDescent="0.25">
      <c r="A62" s="60" t="str">
        <f>IF(RawData!C61="","",RawData!C61)</f>
        <v/>
      </c>
      <c r="B62" s="63" t="str">
        <f>IF(HOUR(RawData!K61)=0,"",HOUR(RawData!K61))</f>
        <v/>
      </c>
      <c r="C62" s="64" t="str">
        <f>IF(MINUTE(RawData!K61)=0,"",MINUTE(RawData!K61))</f>
        <v/>
      </c>
      <c r="D62" s="52" t="str">
        <f t="shared" si="0"/>
        <v/>
      </c>
      <c r="E62" s="53" t="str">
        <f t="shared" si="1"/>
        <v/>
      </c>
    </row>
    <row r="63" spans="1:5" ht="15.75" customHeight="1" x14ac:dyDescent="0.25">
      <c r="A63" s="60" t="str">
        <f>IF(RawData!C62="","",RawData!C62)</f>
        <v/>
      </c>
      <c r="B63" s="63" t="str">
        <f>IF(HOUR(RawData!K62)=0,"",HOUR(RawData!K62))</f>
        <v/>
      </c>
      <c r="C63" s="64" t="str">
        <f>IF(MINUTE(RawData!K62)=0,"",MINUTE(RawData!K62))</f>
        <v/>
      </c>
      <c r="D63" s="52" t="str">
        <f t="shared" si="0"/>
        <v/>
      </c>
      <c r="E63" s="53" t="str">
        <f t="shared" si="1"/>
        <v/>
      </c>
    </row>
    <row r="64" spans="1:5" ht="15.75" customHeight="1" x14ac:dyDescent="0.25">
      <c r="A64" s="60" t="str">
        <f>IF(RawData!C63="","",RawData!C63)</f>
        <v/>
      </c>
      <c r="B64" s="63" t="str">
        <f>IF(HOUR(RawData!K63)=0,"",HOUR(RawData!K63))</f>
        <v/>
      </c>
      <c r="C64" s="64" t="str">
        <f>IF(MINUTE(RawData!K63)=0,"",MINUTE(RawData!K63))</f>
        <v/>
      </c>
      <c r="D64" s="52" t="str">
        <f t="shared" si="0"/>
        <v/>
      </c>
      <c r="E64" s="53" t="str">
        <f t="shared" si="1"/>
        <v/>
      </c>
    </row>
    <row r="65" spans="1:5" ht="15.75" customHeight="1" x14ac:dyDescent="0.25">
      <c r="A65" s="60" t="str">
        <f>IF(RawData!C64="","",RawData!C64)</f>
        <v/>
      </c>
      <c r="B65" s="63" t="str">
        <f>IF(HOUR(RawData!K64)=0,"",HOUR(RawData!K64))</f>
        <v/>
      </c>
      <c r="C65" s="64" t="str">
        <f>IF(MINUTE(RawData!K64)=0,"",MINUTE(RawData!K64))</f>
        <v/>
      </c>
      <c r="D65" s="52" t="str">
        <f t="shared" si="0"/>
        <v/>
      </c>
      <c r="E65" s="53" t="str">
        <f t="shared" si="1"/>
        <v/>
      </c>
    </row>
    <row r="66" spans="1:5" ht="15.75" customHeight="1" x14ac:dyDescent="0.25">
      <c r="A66" s="60" t="str">
        <f>IF(RawData!C65="","",RawData!C65)</f>
        <v/>
      </c>
      <c r="B66" s="63" t="str">
        <f>IF(HOUR(RawData!K65)=0,"",HOUR(RawData!K65))</f>
        <v/>
      </c>
      <c r="C66" s="64" t="str">
        <f>IF(MINUTE(RawData!K65)=0,"",MINUTE(RawData!K65))</f>
        <v/>
      </c>
      <c r="D66" s="52" t="str">
        <f t="shared" si="0"/>
        <v/>
      </c>
      <c r="E66" s="53" t="str">
        <f t="shared" si="1"/>
        <v/>
      </c>
    </row>
    <row r="67" spans="1:5" ht="15.75" customHeight="1" x14ac:dyDescent="0.25">
      <c r="A67" s="60" t="str">
        <f>IF(RawData!C66="","",RawData!C66)</f>
        <v/>
      </c>
      <c r="B67" s="63" t="str">
        <f>IF(HOUR(RawData!K66)=0,"",HOUR(RawData!K66))</f>
        <v/>
      </c>
      <c r="C67" s="64" t="str">
        <f>IF(MINUTE(RawData!K66)=0,"",MINUTE(RawData!K66))</f>
        <v/>
      </c>
      <c r="D67" s="52" t="str">
        <f t="shared" si="0"/>
        <v/>
      </c>
      <c r="E67" s="53" t="str">
        <f t="shared" si="1"/>
        <v/>
      </c>
    </row>
    <row r="68" spans="1:5" ht="15.75" customHeight="1" x14ac:dyDescent="0.25">
      <c r="A68" s="60" t="str">
        <f>IF(RawData!C67="","",RawData!C67)</f>
        <v/>
      </c>
      <c r="B68" s="63" t="str">
        <f>IF(HOUR(RawData!K67)=0,"",HOUR(RawData!K67))</f>
        <v/>
      </c>
      <c r="C68" s="64" t="str">
        <f>IF(MINUTE(RawData!K67)=0,"",MINUTE(RawData!K67))</f>
        <v/>
      </c>
      <c r="D68" s="52" t="str">
        <f t="shared" ref="D68:D131" si="2">IF(OR(CONCATENATE(B68,C68)="",CONCATENATE(B68,C68)="00")=TRUE,"",9)</f>
        <v/>
      </c>
      <c r="E68" s="53" t="str">
        <f t="shared" ref="E68:E131" si="3">IF(OR(CONCATENATE(B68,C68)="",CONCATENATE(B68,C68)="00")=TRUE,"",15)</f>
        <v/>
      </c>
    </row>
    <row r="69" spans="1:5" ht="15.75" customHeight="1" x14ac:dyDescent="0.25">
      <c r="A69" s="60" t="str">
        <f>IF(RawData!C68="","",RawData!C68)</f>
        <v/>
      </c>
      <c r="B69" s="63" t="str">
        <f>IF(HOUR(RawData!K68)=0,"",HOUR(RawData!K68))</f>
        <v/>
      </c>
      <c r="C69" s="64" t="str">
        <f>IF(MINUTE(RawData!K68)=0,"",MINUTE(RawData!K68))</f>
        <v/>
      </c>
      <c r="D69" s="52" t="str">
        <f t="shared" si="2"/>
        <v/>
      </c>
      <c r="E69" s="53" t="str">
        <f t="shared" si="3"/>
        <v/>
      </c>
    </row>
    <row r="70" spans="1:5" ht="15.75" customHeight="1" x14ac:dyDescent="0.25">
      <c r="A70" s="60" t="str">
        <f>IF(RawData!C69="","",RawData!C69)</f>
        <v/>
      </c>
      <c r="B70" s="63" t="str">
        <f>IF(HOUR(RawData!K69)=0,"",HOUR(RawData!K69))</f>
        <v/>
      </c>
      <c r="C70" s="64" t="str">
        <f>IF(MINUTE(RawData!K69)=0,"",MINUTE(RawData!K69))</f>
        <v/>
      </c>
      <c r="D70" s="52" t="str">
        <f t="shared" si="2"/>
        <v/>
      </c>
      <c r="E70" s="53" t="str">
        <f t="shared" si="3"/>
        <v/>
      </c>
    </row>
    <row r="71" spans="1:5" ht="15.75" customHeight="1" x14ac:dyDescent="0.25">
      <c r="A71" s="60" t="str">
        <f>IF(RawData!C70="","",RawData!C70)</f>
        <v/>
      </c>
      <c r="B71" s="63" t="str">
        <f>IF(HOUR(RawData!K70)=0,"",HOUR(RawData!K70))</f>
        <v/>
      </c>
      <c r="C71" s="64" t="str">
        <f>IF(MINUTE(RawData!K70)=0,"",MINUTE(RawData!K70))</f>
        <v/>
      </c>
      <c r="D71" s="52" t="str">
        <f t="shared" si="2"/>
        <v/>
      </c>
      <c r="E71" s="53" t="str">
        <f t="shared" si="3"/>
        <v/>
      </c>
    </row>
    <row r="72" spans="1:5" ht="15.75" customHeight="1" x14ac:dyDescent="0.25">
      <c r="A72" s="60" t="str">
        <f>IF(RawData!C71="","",RawData!C71)</f>
        <v/>
      </c>
      <c r="B72" s="63" t="str">
        <f>IF(HOUR(RawData!K71)=0,"",HOUR(RawData!K71))</f>
        <v/>
      </c>
      <c r="C72" s="64" t="str">
        <f>IF(MINUTE(RawData!K71)=0,"",MINUTE(RawData!K71))</f>
        <v/>
      </c>
      <c r="D72" s="52" t="str">
        <f t="shared" si="2"/>
        <v/>
      </c>
      <c r="E72" s="53" t="str">
        <f t="shared" si="3"/>
        <v/>
      </c>
    </row>
    <row r="73" spans="1:5" ht="15.75" customHeight="1" x14ac:dyDescent="0.25">
      <c r="A73" s="60" t="str">
        <f>IF(RawData!C72="","",RawData!C72)</f>
        <v/>
      </c>
      <c r="B73" s="63" t="str">
        <f>IF(HOUR(RawData!K72)=0,"",HOUR(RawData!K72))</f>
        <v/>
      </c>
      <c r="C73" s="64" t="str">
        <f>IF(MINUTE(RawData!K72)=0,"",MINUTE(RawData!K72))</f>
        <v/>
      </c>
      <c r="D73" s="52" t="str">
        <f t="shared" si="2"/>
        <v/>
      </c>
      <c r="E73" s="53" t="str">
        <f t="shared" si="3"/>
        <v/>
      </c>
    </row>
    <row r="74" spans="1:5" ht="15.75" customHeight="1" x14ac:dyDescent="0.25">
      <c r="A74" s="60" t="str">
        <f>IF(RawData!C73="","",RawData!C73)</f>
        <v/>
      </c>
      <c r="B74" s="63" t="str">
        <f>IF(HOUR(RawData!K73)=0,"",HOUR(RawData!K73))</f>
        <v/>
      </c>
      <c r="C74" s="64" t="str">
        <f>IF(MINUTE(RawData!K73)=0,"",MINUTE(RawData!K73))</f>
        <v/>
      </c>
      <c r="D74" s="52" t="str">
        <f t="shared" si="2"/>
        <v/>
      </c>
      <c r="E74" s="53" t="str">
        <f t="shared" si="3"/>
        <v/>
      </c>
    </row>
    <row r="75" spans="1:5" ht="15.75" customHeight="1" x14ac:dyDescent="0.25">
      <c r="A75" s="60" t="str">
        <f>IF(RawData!C74="","",RawData!C74)</f>
        <v/>
      </c>
      <c r="B75" s="63" t="str">
        <f>IF(HOUR(RawData!K74)=0,"",HOUR(RawData!K74))</f>
        <v/>
      </c>
      <c r="C75" s="64" t="str">
        <f>IF(MINUTE(RawData!K74)=0,"",MINUTE(RawData!K74))</f>
        <v/>
      </c>
      <c r="D75" s="52" t="str">
        <f t="shared" si="2"/>
        <v/>
      </c>
      <c r="E75" s="53" t="str">
        <f t="shared" si="3"/>
        <v/>
      </c>
    </row>
    <row r="76" spans="1:5" ht="15.75" customHeight="1" x14ac:dyDescent="0.25">
      <c r="A76" s="60" t="str">
        <f>IF(RawData!C75="","",RawData!C75)</f>
        <v/>
      </c>
      <c r="B76" s="63" t="str">
        <f>IF(HOUR(RawData!K75)=0,"",HOUR(RawData!K75))</f>
        <v/>
      </c>
      <c r="C76" s="64" t="str">
        <f>IF(MINUTE(RawData!K75)=0,"",MINUTE(RawData!K75))</f>
        <v/>
      </c>
      <c r="D76" s="52" t="str">
        <f t="shared" si="2"/>
        <v/>
      </c>
      <c r="E76" s="53" t="str">
        <f t="shared" si="3"/>
        <v/>
      </c>
    </row>
    <row r="77" spans="1:5" ht="15.75" customHeight="1" x14ac:dyDescent="0.25">
      <c r="A77" s="60" t="str">
        <f>IF(RawData!C76="","",RawData!C76)</f>
        <v/>
      </c>
      <c r="B77" s="63" t="str">
        <f>IF(HOUR(RawData!K76)=0,"",HOUR(RawData!K76))</f>
        <v/>
      </c>
      <c r="C77" s="64" t="str">
        <f>IF(MINUTE(RawData!K76)=0,"",MINUTE(RawData!K76))</f>
        <v/>
      </c>
      <c r="D77" s="52" t="str">
        <f t="shared" si="2"/>
        <v/>
      </c>
      <c r="E77" s="53" t="str">
        <f t="shared" si="3"/>
        <v/>
      </c>
    </row>
    <row r="78" spans="1:5" ht="15.75" customHeight="1" x14ac:dyDescent="0.25">
      <c r="A78" s="60" t="str">
        <f>IF(RawData!C77="","",RawData!C77)</f>
        <v/>
      </c>
      <c r="B78" s="63" t="str">
        <f>IF(HOUR(RawData!K77)=0,"",HOUR(RawData!K77))</f>
        <v/>
      </c>
      <c r="C78" s="64" t="str">
        <f>IF(MINUTE(RawData!K77)=0,"",MINUTE(RawData!K77))</f>
        <v/>
      </c>
      <c r="D78" s="52" t="str">
        <f t="shared" si="2"/>
        <v/>
      </c>
      <c r="E78" s="53" t="str">
        <f t="shared" si="3"/>
        <v/>
      </c>
    </row>
    <row r="79" spans="1:5" ht="15.75" customHeight="1" x14ac:dyDescent="0.25">
      <c r="A79" s="60" t="str">
        <f>IF(RawData!C78="","",RawData!C78)</f>
        <v/>
      </c>
      <c r="B79" s="63" t="str">
        <f>IF(HOUR(RawData!K78)=0,"",HOUR(RawData!K78))</f>
        <v/>
      </c>
      <c r="C79" s="64" t="str">
        <f>IF(MINUTE(RawData!K78)=0,"",MINUTE(RawData!K78))</f>
        <v/>
      </c>
      <c r="D79" s="52" t="str">
        <f t="shared" si="2"/>
        <v/>
      </c>
      <c r="E79" s="53" t="str">
        <f t="shared" si="3"/>
        <v/>
      </c>
    </row>
    <row r="80" spans="1:5" ht="15.75" customHeight="1" x14ac:dyDescent="0.25">
      <c r="A80" s="60" t="str">
        <f>IF(RawData!C79="","",RawData!C79)</f>
        <v/>
      </c>
      <c r="B80" s="63" t="str">
        <f>IF(HOUR(RawData!K79)=0,"",HOUR(RawData!K79))</f>
        <v/>
      </c>
      <c r="C80" s="64" t="str">
        <f>IF(MINUTE(RawData!K79)=0,"",MINUTE(RawData!K79))</f>
        <v/>
      </c>
      <c r="D80" s="52" t="str">
        <f t="shared" si="2"/>
        <v/>
      </c>
      <c r="E80" s="53" t="str">
        <f t="shared" si="3"/>
        <v/>
      </c>
    </row>
    <row r="81" spans="1:5" ht="15.75" customHeight="1" x14ac:dyDescent="0.25">
      <c r="A81" s="60" t="str">
        <f>IF(RawData!C80="","",RawData!C80)</f>
        <v/>
      </c>
      <c r="B81" s="63" t="str">
        <f>IF(HOUR(RawData!K80)=0,"",HOUR(RawData!K80))</f>
        <v/>
      </c>
      <c r="C81" s="64" t="str">
        <f>IF(MINUTE(RawData!K80)=0,"",MINUTE(RawData!K80))</f>
        <v/>
      </c>
      <c r="D81" s="52" t="str">
        <f t="shared" si="2"/>
        <v/>
      </c>
      <c r="E81" s="53" t="str">
        <f t="shared" si="3"/>
        <v/>
      </c>
    </row>
    <row r="82" spans="1:5" ht="15.75" customHeight="1" x14ac:dyDescent="0.25">
      <c r="A82" s="60" t="str">
        <f>IF(RawData!C81="","",RawData!C81)</f>
        <v/>
      </c>
      <c r="B82" s="63" t="str">
        <f>IF(HOUR(RawData!K81)=0,"",HOUR(RawData!K81))</f>
        <v/>
      </c>
      <c r="C82" s="64" t="str">
        <f>IF(MINUTE(RawData!K81)=0,"",MINUTE(RawData!K81))</f>
        <v/>
      </c>
      <c r="D82" s="52" t="str">
        <f t="shared" si="2"/>
        <v/>
      </c>
      <c r="E82" s="53" t="str">
        <f t="shared" si="3"/>
        <v/>
      </c>
    </row>
    <row r="83" spans="1:5" ht="15.75" customHeight="1" x14ac:dyDescent="0.25">
      <c r="A83" s="60" t="str">
        <f>IF(RawData!C82="","",RawData!C82)</f>
        <v/>
      </c>
      <c r="B83" s="63" t="str">
        <f>IF(HOUR(RawData!K82)=0,"",HOUR(RawData!K82))</f>
        <v/>
      </c>
      <c r="C83" s="64" t="str">
        <f>IF(MINUTE(RawData!K82)=0,"",MINUTE(RawData!K82))</f>
        <v/>
      </c>
      <c r="D83" s="52" t="str">
        <f t="shared" si="2"/>
        <v/>
      </c>
      <c r="E83" s="53" t="str">
        <f t="shared" si="3"/>
        <v/>
      </c>
    </row>
    <row r="84" spans="1:5" ht="15.75" customHeight="1" x14ac:dyDescent="0.25">
      <c r="A84" s="60" t="str">
        <f>IF(RawData!C83="","",RawData!C83)</f>
        <v/>
      </c>
      <c r="B84" s="63" t="str">
        <f>IF(HOUR(RawData!K83)=0,"",HOUR(RawData!K83))</f>
        <v/>
      </c>
      <c r="C84" s="64" t="str">
        <f>IF(MINUTE(RawData!K83)=0,"",MINUTE(RawData!K83))</f>
        <v/>
      </c>
      <c r="D84" s="52" t="str">
        <f t="shared" si="2"/>
        <v/>
      </c>
      <c r="E84" s="53" t="str">
        <f t="shared" si="3"/>
        <v/>
      </c>
    </row>
    <row r="85" spans="1:5" ht="15.75" customHeight="1" x14ac:dyDescent="0.25">
      <c r="A85" s="60" t="str">
        <f>IF(RawData!C84="","",RawData!C84)</f>
        <v/>
      </c>
      <c r="B85" s="63" t="str">
        <f>IF(HOUR(RawData!K84)=0,"",HOUR(RawData!K84))</f>
        <v/>
      </c>
      <c r="C85" s="64" t="str">
        <f>IF(MINUTE(RawData!K84)=0,"",MINUTE(RawData!K84))</f>
        <v/>
      </c>
      <c r="D85" s="52" t="str">
        <f t="shared" si="2"/>
        <v/>
      </c>
      <c r="E85" s="53" t="str">
        <f t="shared" si="3"/>
        <v/>
      </c>
    </row>
    <row r="86" spans="1:5" ht="15.75" customHeight="1" x14ac:dyDescent="0.25">
      <c r="A86" s="60" t="str">
        <f>IF(RawData!C85="","",RawData!C85)</f>
        <v/>
      </c>
      <c r="B86" s="63" t="str">
        <f>IF(HOUR(RawData!K85)=0,"",HOUR(RawData!K85))</f>
        <v/>
      </c>
      <c r="C86" s="64" t="str">
        <f>IF(MINUTE(RawData!K85)=0,"",MINUTE(RawData!K85))</f>
        <v/>
      </c>
      <c r="D86" s="52" t="str">
        <f t="shared" si="2"/>
        <v/>
      </c>
      <c r="E86" s="53" t="str">
        <f t="shared" si="3"/>
        <v/>
      </c>
    </row>
    <row r="87" spans="1:5" ht="15.75" customHeight="1" x14ac:dyDescent="0.25">
      <c r="A87" s="60" t="str">
        <f>IF(RawData!C86="","",RawData!C86)</f>
        <v/>
      </c>
      <c r="B87" s="63" t="str">
        <f>IF(HOUR(RawData!K86)=0,"",HOUR(RawData!K86))</f>
        <v/>
      </c>
      <c r="C87" s="64" t="str">
        <f>IF(MINUTE(RawData!K86)=0,"",MINUTE(RawData!K86))</f>
        <v/>
      </c>
      <c r="D87" s="52" t="str">
        <f t="shared" si="2"/>
        <v/>
      </c>
      <c r="E87" s="53" t="str">
        <f t="shared" si="3"/>
        <v/>
      </c>
    </row>
    <row r="88" spans="1:5" ht="15.75" customHeight="1" x14ac:dyDescent="0.25">
      <c r="A88" s="60" t="str">
        <f>IF(RawData!C87="","",RawData!C87)</f>
        <v/>
      </c>
      <c r="B88" s="63" t="str">
        <f>IF(HOUR(RawData!K87)=0,"",HOUR(RawData!K87))</f>
        <v/>
      </c>
      <c r="C88" s="64" t="str">
        <f>IF(MINUTE(RawData!K87)=0,"",MINUTE(RawData!K87))</f>
        <v/>
      </c>
      <c r="D88" s="52" t="str">
        <f t="shared" si="2"/>
        <v/>
      </c>
      <c r="E88" s="53" t="str">
        <f t="shared" si="3"/>
        <v/>
      </c>
    </row>
    <row r="89" spans="1:5" ht="15.75" customHeight="1" x14ac:dyDescent="0.25">
      <c r="A89" s="60" t="str">
        <f>IF(RawData!C88="","",RawData!C88)</f>
        <v/>
      </c>
      <c r="B89" s="63" t="str">
        <f>IF(HOUR(RawData!K88)=0,"",HOUR(RawData!K88))</f>
        <v/>
      </c>
      <c r="C89" s="64" t="str">
        <f>IF(MINUTE(RawData!K88)=0,"",MINUTE(RawData!K88))</f>
        <v/>
      </c>
      <c r="D89" s="52" t="str">
        <f t="shared" si="2"/>
        <v/>
      </c>
      <c r="E89" s="53" t="str">
        <f t="shared" si="3"/>
        <v/>
      </c>
    </row>
    <row r="90" spans="1:5" ht="15.75" customHeight="1" x14ac:dyDescent="0.25">
      <c r="A90" s="60" t="str">
        <f>IF(RawData!C89="","",RawData!C89)</f>
        <v/>
      </c>
      <c r="B90" s="63" t="str">
        <f>IF(HOUR(RawData!K89)=0,"",HOUR(RawData!K89))</f>
        <v/>
      </c>
      <c r="C90" s="64" t="str">
        <f>IF(MINUTE(RawData!K89)=0,"",MINUTE(RawData!K89))</f>
        <v/>
      </c>
      <c r="D90" s="52" t="str">
        <f t="shared" si="2"/>
        <v/>
      </c>
      <c r="E90" s="53" t="str">
        <f t="shared" si="3"/>
        <v/>
      </c>
    </row>
    <row r="91" spans="1:5" ht="15.75" customHeight="1" x14ac:dyDescent="0.25">
      <c r="A91" s="60" t="str">
        <f>IF(RawData!C90="","",RawData!C90)</f>
        <v/>
      </c>
      <c r="B91" s="63" t="str">
        <f>IF(HOUR(RawData!K90)=0,"",HOUR(RawData!K90))</f>
        <v/>
      </c>
      <c r="C91" s="64" t="str">
        <f>IF(MINUTE(RawData!K90)=0,"",MINUTE(RawData!K90))</f>
        <v/>
      </c>
      <c r="D91" s="52" t="str">
        <f t="shared" si="2"/>
        <v/>
      </c>
      <c r="E91" s="53" t="str">
        <f t="shared" si="3"/>
        <v/>
      </c>
    </row>
    <row r="92" spans="1:5" ht="15.75" customHeight="1" x14ac:dyDescent="0.25">
      <c r="A92" s="60" t="str">
        <f>IF(RawData!C91="","",RawData!C91)</f>
        <v/>
      </c>
      <c r="B92" s="63" t="str">
        <f>IF(HOUR(RawData!K91)=0,"",HOUR(RawData!K91))</f>
        <v/>
      </c>
      <c r="C92" s="64" t="str">
        <f>IF(MINUTE(RawData!K91)=0,"",MINUTE(RawData!K91))</f>
        <v/>
      </c>
      <c r="D92" s="52" t="str">
        <f t="shared" si="2"/>
        <v/>
      </c>
      <c r="E92" s="53" t="str">
        <f t="shared" si="3"/>
        <v/>
      </c>
    </row>
    <row r="93" spans="1:5" ht="15.75" customHeight="1" x14ac:dyDescent="0.25">
      <c r="A93" s="60" t="str">
        <f>IF(RawData!C92="","",RawData!C92)</f>
        <v/>
      </c>
      <c r="B93" s="63" t="str">
        <f>IF(HOUR(RawData!K92)=0,"",HOUR(RawData!K92))</f>
        <v/>
      </c>
      <c r="C93" s="64" t="str">
        <f>IF(MINUTE(RawData!K92)=0,"",MINUTE(RawData!K92))</f>
        <v/>
      </c>
      <c r="D93" s="52" t="str">
        <f t="shared" si="2"/>
        <v/>
      </c>
      <c r="E93" s="53" t="str">
        <f t="shared" si="3"/>
        <v/>
      </c>
    </row>
    <row r="94" spans="1:5" ht="15.75" customHeight="1" x14ac:dyDescent="0.25">
      <c r="A94" s="60" t="str">
        <f>IF(RawData!C93="","",RawData!C93)</f>
        <v/>
      </c>
      <c r="B94" s="63" t="str">
        <f>IF(HOUR(RawData!K93)=0,"",HOUR(RawData!K93))</f>
        <v/>
      </c>
      <c r="C94" s="64" t="str">
        <f>IF(MINUTE(RawData!K93)=0,"",MINUTE(RawData!K93))</f>
        <v/>
      </c>
      <c r="D94" s="52" t="str">
        <f t="shared" si="2"/>
        <v/>
      </c>
      <c r="E94" s="53" t="str">
        <f t="shared" si="3"/>
        <v/>
      </c>
    </row>
    <row r="95" spans="1:5" ht="15.75" customHeight="1" x14ac:dyDescent="0.25">
      <c r="A95" s="60" t="str">
        <f>IF(RawData!C94="","",RawData!C94)</f>
        <v/>
      </c>
      <c r="B95" s="63" t="str">
        <f>IF(HOUR(RawData!K94)=0,"",HOUR(RawData!K94))</f>
        <v/>
      </c>
      <c r="C95" s="64" t="str">
        <f>IF(MINUTE(RawData!K94)=0,"",MINUTE(RawData!K94))</f>
        <v/>
      </c>
      <c r="D95" s="52" t="str">
        <f t="shared" si="2"/>
        <v/>
      </c>
      <c r="E95" s="53" t="str">
        <f t="shared" si="3"/>
        <v/>
      </c>
    </row>
    <row r="96" spans="1:5" ht="15.75" customHeight="1" x14ac:dyDescent="0.25">
      <c r="A96" s="60" t="str">
        <f>IF(RawData!C95="","",RawData!C95)</f>
        <v/>
      </c>
      <c r="B96" s="63" t="str">
        <f>IF(HOUR(RawData!K95)=0,"",HOUR(RawData!K95))</f>
        <v/>
      </c>
      <c r="C96" s="64" t="str">
        <f>IF(MINUTE(RawData!K95)=0,"",MINUTE(RawData!K95))</f>
        <v/>
      </c>
      <c r="D96" s="52" t="str">
        <f t="shared" si="2"/>
        <v/>
      </c>
      <c r="E96" s="53" t="str">
        <f t="shared" si="3"/>
        <v/>
      </c>
    </row>
    <row r="97" spans="1:5" ht="15.75" customHeight="1" x14ac:dyDescent="0.25">
      <c r="A97" s="60" t="str">
        <f>IF(RawData!C96="","",RawData!C96)</f>
        <v/>
      </c>
      <c r="B97" s="63" t="str">
        <f>IF(HOUR(RawData!K96)=0,"",HOUR(RawData!K96))</f>
        <v/>
      </c>
      <c r="C97" s="64" t="str">
        <f>IF(MINUTE(RawData!K96)=0,"",MINUTE(RawData!K96))</f>
        <v/>
      </c>
      <c r="D97" s="52" t="str">
        <f t="shared" si="2"/>
        <v/>
      </c>
      <c r="E97" s="53" t="str">
        <f t="shared" si="3"/>
        <v/>
      </c>
    </row>
    <row r="98" spans="1:5" ht="15.75" customHeight="1" x14ac:dyDescent="0.25">
      <c r="A98" s="60" t="str">
        <f>IF(RawData!C97="","",RawData!C97)</f>
        <v/>
      </c>
      <c r="B98" s="63" t="str">
        <f>IF(HOUR(RawData!K97)=0,"",HOUR(RawData!K97))</f>
        <v/>
      </c>
      <c r="C98" s="64" t="str">
        <f>IF(MINUTE(RawData!K97)=0,"",MINUTE(RawData!K97))</f>
        <v/>
      </c>
      <c r="D98" s="52" t="str">
        <f t="shared" si="2"/>
        <v/>
      </c>
      <c r="E98" s="53" t="str">
        <f t="shared" si="3"/>
        <v/>
      </c>
    </row>
    <row r="99" spans="1:5" ht="15.75" customHeight="1" x14ac:dyDescent="0.25">
      <c r="A99" s="60" t="str">
        <f>IF(RawData!C98="","",RawData!C98)</f>
        <v/>
      </c>
      <c r="B99" s="63" t="str">
        <f>IF(HOUR(RawData!K98)=0,"",HOUR(RawData!K98))</f>
        <v/>
      </c>
      <c r="C99" s="64" t="str">
        <f>IF(MINUTE(RawData!K98)=0,"",MINUTE(RawData!K98))</f>
        <v/>
      </c>
      <c r="D99" s="52" t="str">
        <f t="shared" si="2"/>
        <v/>
      </c>
      <c r="E99" s="53" t="str">
        <f t="shared" si="3"/>
        <v/>
      </c>
    </row>
    <row r="100" spans="1:5" ht="15.75" customHeight="1" x14ac:dyDescent="0.25">
      <c r="A100" s="60" t="str">
        <f>IF(RawData!C99="","",RawData!C99)</f>
        <v/>
      </c>
      <c r="B100" s="63" t="str">
        <f>IF(HOUR(RawData!K99)=0,"",HOUR(RawData!K99))</f>
        <v/>
      </c>
      <c r="C100" s="64" t="str">
        <f>IF(MINUTE(RawData!K99)=0,"",MINUTE(RawData!K99))</f>
        <v/>
      </c>
      <c r="D100" s="52" t="str">
        <f t="shared" si="2"/>
        <v/>
      </c>
      <c r="E100" s="53" t="str">
        <f t="shared" si="3"/>
        <v/>
      </c>
    </row>
    <row r="101" spans="1:5" ht="15.75" customHeight="1" x14ac:dyDescent="0.25">
      <c r="A101" s="60" t="str">
        <f>IF(RawData!C100="","",RawData!C100)</f>
        <v/>
      </c>
      <c r="B101" s="63" t="str">
        <f>IF(HOUR(RawData!K100)=0,"",HOUR(RawData!K100))</f>
        <v/>
      </c>
      <c r="C101" s="64" t="str">
        <f>IF(MINUTE(RawData!K100)=0,"",MINUTE(RawData!K100))</f>
        <v/>
      </c>
      <c r="D101" s="52" t="str">
        <f t="shared" si="2"/>
        <v/>
      </c>
      <c r="E101" s="53" t="str">
        <f t="shared" si="3"/>
        <v/>
      </c>
    </row>
    <row r="102" spans="1:5" ht="15.75" customHeight="1" x14ac:dyDescent="0.25">
      <c r="A102" s="60" t="str">
        <f>IF(RawData!C101="","",RawData!C101)</f>
        <v/>
      </c>
      <c r="B102" s="63" t="str">
        <f>IF(HOUR(RawData!K101)=0,"",HOUR(RawData!K101))</f>
        <v/>
      </c>
      <c r="C102" s="64" t="str">
        <f>IF(MINUTE(RawData!K101)=0,"",MINUTE(RawData!K101))</f>
        <v/>
      </c>
      <c r="D102" s="52" t="str">
        <f t="shared" si="2"/>
        <v/>
      </c>
      <c r="E102" s="53" t="str">
        <f t="shared" si="3"/>
        <v/>
      </c>
    </row>
    <row r="103" spans="1:5" ht="15.75" customHeight="1" x14ac:dyDescent="0.25">
      <c r="A103" s="60" t="str">
        <f>IF(RawData!C102="","",RawData!C102)</f>
        <v/>
      </c>
      <c r="B103" s="63" t="str">
        <f>IF(HOUR(RawData!K102)=0,"",HOUR(RawData!K102))</f>
        <v/>
      </c>
      <c r="C103" s="64" t="str">
        <f>IF(MINUTE(RawData!K102)=0,"",MINUTE(RawData!K102))</f>
        <v/>
      </c>
      <c r="D103" s="52" t="str">
        <f t="shared" si="2"/>
        <v/>
      </c>
      <c r="E103" s="53" t="str">
        <f t="shared" si="3"/>
        <v/>
      </c>
    </row>
    <row r="104" spans="1:5" ht="15.75" customHeight="1" x14ac:dyDescent="0.25">
      <c r="A104" s="60" t="str">
        <f>IF(RawData!C103="","",RawData!C103)</f>
        <v/>
      </c>
      <c r="B104" s="63" t="str">
        <f>IF(HOUR(RawData!K103)=0,"",HOUR(RawData!K103))</f>
        <v/>
      </c>
      <c r="C104" s="64" t="str">
        <f>IF(MINUTE(RawData!K103)=0,"",MINUTE(RawData!K103))</f>
        <v/>
      </c>
      <c r="D104" s="52" t="str">
        <f t="shared" si="2"/>
        <v/>
      </c>
      <c r="E104" s="53" t="str">
        <f t="shared" si="3"/>
        <v/>
      </c>
    </row>
    <row r="105" spans="1:5" ht="15.75" customHeight="1" x14ac:dyDescent="0.25">
      <c r="A105" s="60" t="str">
        <f>IF(RawData!C104="","",RawData!C104)</f>
        <v/>
      </c>
      <c r="B105" s="63" t="str">
        <f>IF(HOUR(RawData!K104)=0,"",HOUR(RawData!K104))</f>
        <v/>
      </c>
      <c r="C105" s="64" t="str">
        <f>IF(MINUTE(RawData!K104)=0,"",MINUTE(RawData!K104))</f>
        <v/>
      </c>
      <c r="D105" s="52" t="str">
        <f t="shared" si="2"/>
        <v/>
      </c>
      <c r="E105" s="53" t="str">
        <f t="shared" si="3"/>
        <v/>
      </c>
    </row>
    <row r="106" spans="1:5" ht="15.75" customHeight="1" x14ac:dyDescent="0.25">
      <c r="A106" s="60" t="str">
        <f>IF(RawData!C105="","",RawData!C105)</f>
        <v/>
      </c>
      <c r="B106" s="63" t="str">
        <f>IF(HOUR(RawData!K105)=0,"",HOUR(RawData!K105))</f>
        <v/>
      </c>
      <c r="C106" s="64" t="str">
        <f>IF(MINUTE(RawData!K105)=0,"",MINUTE(RawData!K105))</f>
        <v/>
      </c>
      <c r="D106" s="52" t="str">
        <f t="shared" si="2"/>
        <v/>
      </c>
      <c r="E106" s="53" t="str">
        <f t="shared" si="3"/>
        <v/>
      </c>
    </row>
    <row r="107" spans="1:5" ht="15.75" customHeight="1" x14ac:dyDescent="0.25">
      <c r="A107" s="60" t="str">
        <f>IF(RawData!C106="","",RawData!C106)</f>
        <v/>
      </c>
      <c r="B107" s="63" t="str">
        <f>IF(HOUR(RawData!K106)=0,"",HOUR(RawData!K106))</f>
        <v/>
      </c>
      <c r="C107" s="64" t="str">
        <f>IF(MINUTE(RawData!K106)=0,"",MINUTE(RawData!K106))</f>
        <v/>
      </c>
      <c r="D107" s="52" t="str">
        <f t="shared" si="2"/>
        <v/>
      </c>
      <c r="E107" s="53" t="str">
        <f t="shared" si="3"/>
        <v/>
      </c>
    </row>
    <row r="108" spans="1:5" ht="15.75" customHeight="1" x14ac:dyDescent="0.25">
      <c r="A108" s="60" t="str">
        <f>IF(RawData!C107="","",RawData!C107)</f>
        <v/>
      </c>
      <c r="B108" s="63" t="str">
        <f>IF(HOUR(RawData!K107)=0,"",HOUR(RawData!K107))</f>
        <v/>
      </c>
      <c r="C108" s="64" t="str">
        <f>IF(MINUTE(RawData!K107)=0,"",MINUTE(RawData!K107))</f>
        <v/>
      </c>
      <c r="D108" s="52" t="str">
        <f t="shared" si="2"/>
        <v/>
      </c>
      <c r="E108" s="53" t="str">
        <f t="shared" si="3"/>
        <v/>
      </c>
    </row>
    <row r="109" spans="1:5" ht="15.75" customHeight="1" x14ac:dyDescent="0.25">
      <c r="A109" s="60" t="str">
        <f>IF(RawData!C108="","",RawData!C108)</f>
        <v/>
      </c>
      <c r="B109" s="63" t="str">
        <f>IF(HOUR(RawData!K108)=0,"",HOUR(RawData!K108))</f>
        <v/>
      </c>
      <c r="C109" s="64" t="str">
        <f>IF(MINUTE(RawData!K108)=0,"",MINUTE(RawData!K108))</f>
        <v/>
      </c>
      <c r="D109" s="52" t="str">
        <f t="shared" si="2"/>
        <v/>
      </c>
      <c r="E109" s="53" t="str">
        <f t="shared" si="3"/>
        <v/>
      </c>
    </row>
    <row r="110" spans="1:5" ht="15.75" customHeight="1" x14ac:dyDescent="0.25">
      <c r="A110" s="60" t="str">
        <f>IF(RawData!C109="","",RawData!C109)</f>
        <v/>
      </c>
      <c r="B110" s="63" t="str">
        <f>IF(HOUR(RawData!K109)=0,"",HOUR(RawData!K109))</f>
        <v/>
      </c>
      <c r="C110" s="64" t="str">
        <f>IF(MINUTE(RawData!K109)=0,"",MINUTE(RawData!K109))</f>
        <v/>
      </c>
      <c r="D110" s="52" t="str">
        <f t="shared" si="2"/>
        <v/>
      </c>
      <c r="E110" s="53" t="str">
        <f t="shared" si="3"/>
        <v/>
      </c>
    </row>
    <row r="111" spans="1:5" ht="15.75" customHeight="1" x14ac:dyDescent="0.25">
      <c r="A111" s="60" t="str">
        <f>IF(RawData!C110="","",RawData!C110)</f>
        <v/>
      </c>
      <c r="B111" s="63" t="str">
        <f>IF(HOUR(RawData!K110)=0,"",HOUR(RawData!K110))</f>
        <v/>
      </c>
      <c r="C111" s="64" t="str">
        <f>IF(MINUTE(RawData!K110)=0,"",MINUTE(RawData!K110))</f>
        <v/>
      </c>
      <c r="D111" s="52" t="str">
        <f t="shared" si="2"/>
        <v/>
      </c>
      <c r="E111" s="53" t="str">
        <f t="shared" si="3"/>
        <v/>
      </c>
    </row>
    <row r="112" spans="1:5" ht="15.75" customHeight="1" x14ac:dyDescent="0.25">
      <c r="A112" s="60" t="str">
        <f>IF(RawData!C111="","",RawData!C111)</f>
        <v/>
      </c>
      <c r="B112" s="63" t="str">
        <f>IF(HOUR(RawData!K111)=0,"",HOUR(RawData!K111))</f>
        <v/>
      </c>
      <c r="C112" s="64" t="str">
        <f>IF(MINUTE(RawData!K111)=0,"",MINUTE(RawData!K111))</f>
        <v/>
      </c>
      <c r="D112" s="52" t="str">
        <f t="shared" si="2"/>
        <v/>
      </c>
      <c r="E112" s="53" t="str">
        <f t="shared" si="3"/>
        <v/>
      </c>
    </row>
    <row r="113" spans="1:5" ht="15.75" customHeight="1" x14ac:dyDescent="0.25">
      <c r="A113" s="60" t="str">
        <f>IF(RawData!C112="","",RawData!C112)</f>
        <v/>
      </c>
      <c r="B113" s="63" t="str">
        <f>IF(HOUR(RawData!K112)=0,"",HOUR(RawData!K112))</f>
        <v/>
      </c>
      <c r="C113" s="64" t="str">
        <f>IF(MINUTE(RawData!K112)=0,"",MINUTE(RawData!K112))</f>
        <v/>
      </c>
      <c r="D113" s="52" t="str">
        <f t="shared" si="2"/>
        <v/>
      </c>
      <c r="E113" s="53" t="str">
        <f t="shared" si="3"/>
        <v/>
      </c>
    </row>
    <row r="114" spans="1:5" ht="15.75" customHeight="1" x14ac:dyDescent="0.25">
      <c r="A114" s="60" t="str">
        <f>IF(RawData!C113="","",RawData!C113)</f>
        <v/>
      </c>
      <c r="B114" s="63" t="str">
        <f>IF(HOUR(RawData!K113)=0,"",HOUR(RawData!K113))</f>
        <v/>
      </c>
      <c r="C114" s="64" t="str">
        <f>IF(MINUTE(RawData!K113)=0,"",MINUTE(RawData!K113))</f>
        <v/>
      </c>
      <c r="D114" s="52" t="str">
        <f t="shared" si="2"/>
        <v/>
      </c>
      <c r="E114" s="53" t="str">
        <f t="shared" si="3"/>
        <v/>
      </c>
    </row>
    <row r="115" spans="1:5" ht="15.75" customHeight="1" x14ac:dyDescent="0.25">
      <c r="A115" s="60" t="str">
        <f>IF(RawData!C114="","",RawData!C114)</f>
        <v/>
      </c>
      <c r="B115" s="63" t="str">
        <f>IF(HOUR(RawData!K114)=0,"",HOUR(RawData!K114))</f>
        <v/>
      </c>
      <c r="C115" s="64" t="str">
        <f>IF(MINUTE(RawData!K114)=0,"",MINUTE(RawData!K114))</f>
        <v/>
      </c>
      <c r="D115" s="52" t="str">
        <f t="shared" si="2"/>
        <v/>
      </c>
      <c r="E115" s="53" t="str">
        <f t="shared" si="3"/>
        <v/>
      </c>
    </row>
    <row r="116" spans="1:5" ht="15.75" customHeight="1" x14ac:dyDescent="0.25">
      <c r="A116" s="60" t="str">
        <f>IF(RawData!C115="","",RawData!C115)</f>
        <v/>
      </c>
      <c r="B116" s="63" t="str">
        <f>IF(HOUR(RawData!K115)=0,"",HOUR(RawData!K115))</f>
        <v/>
      </c>
      <c r="C116" s="64" t="str">
        <f>IF(MINUTE(RawData!K115)=0,"",MINUTE(RawData!K115))</f>
        <v/>
      </c>
      <c r="D116" s="52" t="str">
        <f t="shared" si="2"/>
        <v/>
      </c>
      <c r="E116" s="53" t="str">
        <f t="shared" si="3"/>
        <v/>
      </c>
    </row>
    <row r="117" spans="1:5" ht="15.75" customHeight="1" x14ac:dyDescent="0.25">
      <c r="A117" s="60" t="str">
        <f>IF(RawData!C116="","",RawData!C116)</f>
        <v/>
      </c>
      <c r="B117" s="63" t="str">
        <f>IF(HOUR(RawData!K116)=0,"",HOUR(RawData!K116))</f>
        <v/>
      </c>
      <c r="C117" s="64" t="str">
        <f>IF(MINUTE(RawData!K116)=0,"",MINUTE(RawData!K116))</f>
        <v/>
      </c>
      <c r="D117" s="52" t="str">
        <f t="shared" si="2"/>
        <v/>
      </c>
      <c r="E117" s="53" t="str">
        <f t="shared" si="3"/>
        <v/>
      </c>
    </row>
    <row r="118" spans="1:5" ht="15.75" customHeight="1" x14ac:dyDescent="0.25">
      <c r="A118" s="60" t="str">
        <f>IF(RawData!C117="","",RawData!C117)</f>
        <v/>
      </c>
      <c r="B118" s="63" t="str">
        <f>IF(HOUR(RawData!K117)=0,"",HOUR(RawData!K117))</f>
        <v/>
      </c>
      <c r="C118" s="64" t="str">
        <f>IF(MINUTE(RawData!K117)=0,"",MINUTE(RawData!K117))</f>
        <v/>
      </c>
      <c r="D118" s="52" t="str">
        <f t="shared" si="2"/>
        <v/>
      </c>
      <c r="E118" s="53" t="str">
        <f t="shared" si="3"/>
        <v/>
      </c>
    </row>
    <row r="119" spans="1:5" ht="15.75" customHeight="1" x14ac:dyDescent="0.25">
      <c r="A119" s="60" t="str">
        <f>IF(RawData!C118="","",RawData!C118)</f>
        <v/>
      </c>
      <c r="B119" s="63" t="str">
        <f>IF(HOUR(RawData!K118)=0,"",HOUR(RawData!K118))</f>
        <v/>
      </c>
      <c r="C119" s="64" t="str">
        <f>IF(MINUTE(RawData!K118)=0,"",MINUTE(RawData!K118))</f>
        <v/>
      </c>
      <c r="D119" s="52" t="str">
        <f t="shared" si="2"/>
        <v/>
      </c>
      <c r="E119" s="53" t="str">
        <f t="shared" si="3"/>
        <v/>
      </c>
    </row>
    <row r="120" spans="1:5" ht="15.75" customHeight="1" x14ac:dyDescent="0.25">
      <c r="A120" s="60" t="str">
        <f>IF(RawData!C119="","",RawData!C119)</f>
        <v/>
      </c>
      <c r="B120" s="63" t="str">
        <f>IF(HOUR(RawData!K119)=0,"",HOUR(RawData!K119))</f>
        <v/>
      </c>
      <c r="C120" s="64" t="str">
        <f>IF(MINUTE(RawData!K119)=0,"",MINUTE(RawData!K119))</f>
        <v/>
      </c>
      <c r="D120" s="52" t="str">
        <f t="shared" si="2"/>
        <v/>
      </c>
      <c r="E120" s="53" t="str">
        <f t="shared" si="3"/>
        <v/>
      </c>
    </row>
    <row r="121" spans="1:5" ht="15.75" customHeight="1" x14ac:dyDescent="0.25">
      <c r="A121" s="60" t="str">
        <f>IF(RawData!C120="","",RawData!C120)</f>
        <v/>
      </c>
      <c r="B121" s="63" t="str">
        <f>IF(HOUR(RawData!K120)=0,"",HOUR(RawData!K120))</f>
        <v/>
      </c>
      <c r="C121" s="64" t="str">
        <f>IF(MINUTE(RawData!K120)=0,"",MINUTE(RawData!K120))</f>
        <v/>
      </c>
      <c r="D121" s="52" t="str">
        <f t="shared" si="2"/>
        <v/>
      </c>
      <c r="E121" s="53" t="str">
        <f t="shared" si="3"/>
        <v/>
      </c>
    </row>
    <row r="122" spans="1:5" ht="15.75" customHeight="1" x14ac:dyDescent="0.25">
      <c r="A122" s="60" t="str">
        <f>IF(RawData!C121="","",RawData!C121)</f>
        <v/>
      </c>
      <c r="B122" s="63" t="str">
        <f>IF(HOUR(RawData!K121)=0,"",HOUR(RawData!K121))</f>
        <v/>
      </c>
      <c r="C122" s="64" t="str">
        <f>IF(MINUTE(RawData!K121)=0,"",MINUTE(RawData!K121))</f>
        <v/>
      </c>
      <c r="D122" s="52" t="str">
        <f t="shared" si="2"/>
        <v/>
      </c>
      <c r="E122" s="53" t="str">
        <f t="shared" si="3"/>
        <v/>
      </c>
    </row>
    <row r="123" spans="1:5" ht="15.75" customHeight="1" x14ac:dyDescent="0.25">
      <c r="A123" s="60" t="str">
        <f>IF(RawData!C122="","",RawData!C122)</f>
        <v/>
      </c>
      <c r="B123" s="63" t="str">
        <f>IF(HOUR(RawData!K122)=0,"",HOUR(RawData!K122))</f>
        <v/>
      </c>
      <c r="C123" s="64" t="str">
        <f>IF(MINUTE(RawData!K122)=0,"",MINUTE(RawData!K122))</f>
        <v/>
      </c>
      <c r="D123" s="52" t="str">
        <f t="shared" si="2"/>
        <v/>
      </c>
      <c r="E123" s="53" t="str">
        <f t="shared" si="3"/>
        <v/>
      </c>
    </row>
    <row r="124" spans="1:5" ht="15.75" customHeight="1" x14ac:dyDescent="0.25">
      <c r="A124" s="60" t="str">
        <f>IF(RawData!C123="","",RawData!C123)</f>
        <v/>
      </c>
      <c r="B124" s="63" t="str">
        <f>IF(HOUR(RawData!K123)=0,"",HOUR(RawData!K123))</f>
        <v/>
      </c>
      <c r="C124" s="64" t="str">
        <f>IF(MINUTE(RawData!K123)=0,"",MINUTE(RawData!K123))</f>
        <v/>
      </c>
      <c r="D124" s="52" t="str">
        <f t="shared" si="2"/>
        <v/>
      </c>
      <c r="E124" s="53" t="str">
        <f t="shared" si="3"/>
        <v/>
      </c>
    </row>
    <row r="125" spans="1:5" ht="15.75" customHeight="1" x14ac:dyDescent="0.25">
      <c r="A125" s="60" t="str">
        <f>IF(RawData!C124="","",RawData!C124)</f>
        <v/>
      </c>
      <c r="B125" s="63" t="str">
        <f>IF(HOUR(RawData!K124)=0,"",HOUR(RawData!K124))</f>
        <v/>
      </c>
      <c r="C125" s="64" t="str">
        <f>IF(MINUTE(RawData!K124)=0,"",MINUTE(RawData!K124))</f>
        <v/>
      </c>
      <c r="D125" s="52" t="str">
        <f t="shared" si="2"/>
        <v/>
      </c>
      <c r="E125" s="53" t="str">
        <f t="shared" si="3"/>
        <v/>
      </c>
    </row>
    <row r="126" spans="1:5" ht="15.75" customHeight="1" x14ac:dyDescent="0.25">
      <c r="A126" s="60" t="str">
        <f>IF(RawData!C125="","",RawData!C125)</f>
        <v/>
      </c>
      <c r="B126" s="63" t="str">
        <f>IF(HOUR(RawData!K125)=0,"",HOUR(RawData!K125))</f>
        <v/>
      </c>
      <c r="C126" s="64" t="str">
        <f>IF(MINUTE(RawData!K125)=0,"",MINUTE(RawData!K125))</f>
        <v/>
      </c>
      <c r="D126" s="52" t="str">
        <f t="shared" si="2"/>
        <v/>
      </c>
      <c r="E126" s="53" t="str">
        <f t="shared" si="3"/>
        <v/>
      </c>
    </row>
    <row r="127" spans="1:5" ht="15.75" customHeight="1" x14ac:dyDescent="0.25">
      <c r="A127" s="60" t="str">
        <f>IF(RawData!C126="","",RawData!C126)</f>
        <v/>
      </c>
      <c r="B127" s="63" t="str">
        <f>IF(HOUR(RawData!K126)=0,"",HOUR(RawData!K126))</f>
        <v/>
      </c>
      <c r="C127" s="64" t="str">
        <f>IF(MINUTE(RawData!K126)=0,"",MINUTE(RawData!K126))</f>
        <v/>
      </c>
      <c r="D127" s="52" t="str">
        <f t="shared" si="2"/>
        <v/>
      </c>
      <c r="E127" s="53" t="str">
        <f t="shared" si="3"/>
        <v/>
      </c>
    </row>
    <row r="128" spans="1:5" ht="15.75" customHeight="1" x14ac:dyDescent="0.25">
      <c r="A128" s="60" t="str">
        <f>IF(RawData!C127="","",RawData!C127)</f>
        <v/>
      </c>
      <c r="B128" s="63" t="str">
        <f>IF(HOUR(RawData!K127)=0,"",HOUR(RawData!K127))</f>
        <v/>
      </c>
      <c r="C128" s="64" t="str">
        <f>IF(MINUTE(RawData!K127)=0,"",MINUTE(RawData!K127))</f>
        <v/>
      </c>
      <c r="D128" s="52" t="str">
        <f t="shared" si="2"/>
        <v/>
      </c>
      <c r="E128" s="53" t="str">
        <f t="shared" si="3"/>
        <v/>
      </c>
    </row>
    <row r="129" spans="1:5" ht="15.75" customHeight="1" x14ac:dyDescent="0.25">
      <c r="A129" s="60" t="str">
        <f>IF(RawData!C128="","",RawData!C128)</f>
        <v/>
      </c>
      <c r="B129" s="63" t="str">
        <f>IF(HOUR(RawData!K128)=0,"",HOUR(RawData!K128))</f>
        <v/>
      </c>
      <c r="C129" s="64" t="str">
        <f>IF(MINUTE(RawData!K128)=0,"",MINUTE(RawData!K128))</f>
        <v/>
      </c>
      <c r="D129" s="52" t="str">
        <f t="shared" si="2"/>
        <v/>
      </c>
      <c r="E129" s="53" t="str">
        <f t="shared" si="3"/>
        <v/>
      </c>
    </row>
    <row r="130" spans="1:5" ht="15.75" customHeight="1" x14ac:dyDescent="0.25">
      <c r="A130" s="60" t="str">
        <f>IF(RawData!C129="","",RawData!C129)</f>
        <v/>
      </c>
      <c r="B130" s="63" t="str">
        <f>IF(HOUR(RawData!K129)=0,"",HOUR(RawData!K129))</f>
        <v/>
      </c>
      <c r="C130" s="64" t="str">
        <f>IF(MINUTE(RawData!K129)=0,"",MINUTE(RawData!K129))</f>
        <v/>
      </c>
      <c r="D130" s="52" t="str">
        <f t="shared" si="2"/>
        <v/>
      </c>
      <c r="E130" s="53" t="str">
        <f t="shared" si="3"/>
        <v/>
      </c>
    </row>
    <row r="131" spans="1:5" ht="15.75" customHeight="1" x14ac:dyDescent="0.25">
      <c r="A131" s="60" t="str">
        <f>IF(RawData!C130="","",RawData!C130)</f>
        <v/>
      </c>
      <c r="B131" s="63" t="str">
        <f>IF(HOUR(RawData!K130)=0,"",HOUR(RawData!K130))</f>
        <v/>
      </c>
      <c r="C131" s="64" t="str">
        <f>IF(MINUTE(RawData!K130)=0,"",MINUTE(RawData!K130))</f>
        <v/>
      </c>
      <c r="D131" s="52" t="str">
        <f t="shared" si="2"/>
        <v/>
      </c>
      <c r="E131" s="53" t="str">
        <f t="shared" si="3"/>
        <v/>
      </c>
    </row>
    <row r="132" spans="1:5" ht="15.75" customHeight="1" x14ac:dyDescent="0.25">
      <c r="A132" s="60" t="str">
        <f>IF(RawData!C131="","",RawData!C131)</f>
        <v/>
      </c>
      <c r="B132" s="63" t="str">
        <f>IF(HOUR(RawData!K131)=0,"",HOUR(RawData!K131))</f>
        <v/>
      </c>
      <c r="C132" s="64" t="str">
        <f>IF(MINUTE(RawData!K131)=0,"",MINUTE(RawData!K131))</f>
        <v/>
      </c>
      <c r="D132" s="52" t="str">
        <f t="shared" ref="D132:D195" si="4">IF(OR(CONCATENATE(B132,C132)="",CONCATENATE(B132,C132)="00")=TRUE,"",9)</f>
        <v/>
      </c>
      <c r="E132" s="53" t="str">
        <f t="shared" ref="E132:E195" si="5">IF(OR(CONCATENATE(B132,C132)="",CONCATENATE(B132,C132)="00")=TRUE,"",15)</f>
        <v/>
      </c>
    </row>
    <row r="133" spans="1:5" ht="15.75" customHeight="1" x14ac:dyDescent="0.25">
      <c r="A133" s="60" t="str">
        <f>IF(RawData!C132="","",RawData!C132)</f>
        <v/>
      </c>
      <c r="B133" s="63" t="str">
        <f>IF(HOUR(RawData!K132)=0,"",HOUR(RawData!K132))</f>
        <v/>
      </c>
      <c r="C133" s="64" t="str">
        <f>IF(MINUTE(RawData!K132)=0,"",MINUTE(RawData!K132))</f>
        <v/>
      </c>
      <c r="D133" s="52" t="str">
        <f t="shared" si="4"/>
        <v/>
      </c>
      <c r="E133" s="53" t="str">
        <f t="shared" si="5"/>
        <v/>
      </c>
    </row>
    <row r="134" spans="1:5" ht="15.75" customHeight="1" x14ac:dyDescent="0.25">
      <c r="A134" s="60" t="str">
        <f>IF(RawData!C133="","",RawData!C133)</f>
        <v/>
      </c>
      <c r="B134" s="63" t="str">
        <f>IF(HOUR(RawData!K133)=0,"",HOUR(RawData!K133))</f>
        <v/>
      </c>
      <c r="C134" s="64" t="str">
        <f>IF(MINUTE(RawData!K133)=0,"",MINUTE(RawData!K133))</f>
        <v/>
      </c>
      <c r="D134" s="52" t="str">
        <f t="shared" si="4"/>
        <v/>
      </c>
      <c r="E134" s="53" t="str">
        <f t="shared" si="5"/>
        <v/>
      </c>
    </row>
    <row r="135" spans="1:5" ht="15.75" customHeight="1" x14ac:dyDescent="0.25">
      <c r="A135" s="60" t="str">
        <f>IF(RawData!C134="","",RawData!C134)</f>
        <v/>
      </c>
      <c r="B135" s="63" t="str">
        <f>IF(HOUR(RawData!K134)=0,"",HOUR(RawData!K134))</f>
        <v/>
      </c>
      <c r="C135" s="64" t="str">
        <f>IF(MINUTE(RawData!K134)=0,"",MINUTE(RawData!K134))</f>
        <v/>
      </c>
      <c r="D135" s="52" t="str">
        <f t="shared" si="4"/>
        <v/>
      </c>
      <c r="E135" s="53" t="str">
        <f t="shared" si="5"/>
        <v/>
      </c>
    </row>
    <row r="136" spans="1:5" ht="15.75" customHeight="1" x14ac:dyDescent="0.25">
      <c r="A136" s="60" t="str">
        <f>IF(RawData!C135="","",RawData!C135)</f>
        <v/>
      </c>
      <c r="B136" s="63" t="str">
        <f>IF(HOUR(RawData!K135)=0,"",HOUR(RawData!K135))</f>
        <v/>
      </c>
      <c r="C136" s="64" t="str">
        <f>IF(MINUTE(RawData!K135)=0,"",MINUTE(RawData!K135))</f>
        <v/>
      </c>
      <c r="D136" s="52" t="str">
        <f t="shared" si="4"/>
        <v/>
      </c>
      <c r="E136" s="53" t="str">
        <f t="shared" si="5"/>
        <v/>
      </c>
    </row>
    <row r="137" spans="1:5" ht="15.75" customHeight="1" x14ac:dyDescent="0.25">
      <c r="A137" s="60" t="str">
        <f>IF(RawData!C136="","",RawData!C136)</f>
        <v/>
      </c>
      <c r="B137" s="63" t="str">
        <f>IF(HOUR(RawData!K136)=0,"",HOUR(RawData!K136))</f>
        <v/>
      </c>
      <c r="C137" s="64" t="str">
        <f>IF(MINUTE(RawData!K136)=0,"",MINUTE(RawData!K136))</f>
        <v/>
      </c>
      <c r="D137" s="52" t="str">
        <f t="shared" si="4"/>
        <v/>
      </c>
      <c r="E137" s="53" t="str">
        <f t="shared" si="5"/>
        <v/>
      </c>
    </row>
    <row r="138" spans="1:5" ht="15.75" customHeight="1" x14ac:dyDescent="0.25">
      <c r="A138" s="60" t="str">
        <f>IF(RawData!C137="","",RawData!C137)</f>
        <v/>
      </c>
      <c r="B138" s="63" t="str">
        <f>IF(HOUR(RawData!K137)=0,"",HOUR(RawData!K137))</f>
        <v/>
      </c>
      <c r="C138" s="64" t="str">
        <f>IF(MINUTE(RawData!K137)=0,"",MINUTE(RawData!K137))</f>
        <v/>
      </c>
      <c r="D138" s="52" t="str">
        <f t="shared" si="4"/>
        <v/>
      </c>
      <c r="E138" s="53" t="str">
        <f t="shared" si="5"/>
        <v/>
      </c>
    </row>
    <row r="139" spans="1:5" ht="15.75" customHeight="1" x14ac:dyDescent="0.25">
      <c r="A139" s="60" t="str">
        <f>IF(RawData!C138="","",RawData!C138)</f>
        <v/>
      </c>
      <c r="B139" s="63" t="str">
        <f>IF(HOUR(RawData!K138)=0,"",HOUR(RawData!K138))</f>
        <v/>
      </c>
      <c r="C139" s="64" t="str">
        <f>IF(MINUTE(RawData!K138)=0,"",MINUTE(RawData!K138))</f>
        <v/>
      </c>
      <c r="D139" s="52" t="str">
        <f t="shared" si="4"/>
        <v/>
      </c>
      <c r="E139" s="53" t="str">
        <f t="shared" si="5"/>
        <v/>
      </c>
    </row>
    <row r="140" spans="1:5" ht="15.75" customHeight="1" x14ac:dyDescent="0.25">
      <c r="A140" s="60" t="str">
        <f>IF(RawData!C139="","",RawData!C139)</f>
        <v/>
      </c>
      <c r="B140" s="63" t="str">
        <f>IF(HOUR(RawData!K139)=0,"",HOUR(RawData!K139))</f>
        <v/>
      </c>
      <c r="C140" s="64" t="str">
        <f>IF(MINUTE(RawData!K139)=0,"",MINUTE(RawData!K139))</f>
        <v/>
      </c>
      <c r="D140" s="52" t="str">
        <f t="shared" si="4"/>
        <v/>
      </c>
      <c r="E140" s="53" t="str">
        <f t="shared" si="5"/>
        <v/>
      </c>
    </row>
    <row r="141" spans="1:5" ht="15.75" customHeight="1" x14ac:dyDescent="0.25">
      <c r="A141" s="60" t="str">
        <f>IF(RawData!C140="","",RawData!C140)</f>
        <v/>
      </c>
      <c r="B141" s="63" t="str">
        <f>IF(HOUR(RawData!K140)=0,"",HOUR(RawData!K140))</f>
        <v/>
      </c>
      <c r="C141" s="64" t="str">
        <f>IF(MINUTE(RawData!K140)=0,"",MINUTE(RawData!K140))</f>
        <v/>
      </c>
      <c r="D141" s="52" t="str">
        <f t="shared" si="4"/>
        <v/>
      </c>
      <c r="E141" s="53" t="str">
        <f t="shared" si="5"/>
        <v/>
      </c>
    </row>
    <row r="142" spans="1:5" ht="15.75" customHeight="1" x14ac:dyDescent="0.25">
      <c r="A142" s="60" t="str">
        <f>IF(RawData!C141="","",RawData!C141)</f>
        <v/>
      </c>
      <c r="B142" s="63" t="str">
        <f>IF(HOUR(RawData!K141)=0,"",HOUR(RawData!K141))</f>
        <v/>
      </c>
      <c r="C142" s="64" t="str">
        <f>IF(MINUTE(RawData!K141)=0,"",MINUTE(RawData!K141))</f>
        <v/>
      </c>
      <c r="D142" s="52" t="str">
        <f t="shared" si="4"/>
        <v/>
      </c>
      <c r="E142" s="53" t="str">
        <f t="shared" si="5"/>
        <v/>
      </c>
    </row>
    <row r="143" spans="1:5" ht="15.75" customHeight="1" x14ac:dyDescent="0.25">
      <c r="A143" s="60" t="str">
        <f>IF(RawData!C142="","",RawData!C142)</f>
        <v/>
      </c>
      <c r="B143" s="63" t="str">
        <f>IF(HOUR(RawData!K142)=0,"",HOUR(RawData!K142))</f>
        <v/>
      </c>
      <c r="C143" s="64" t="str">
        <f>IF(MINUTE(RawData!K142)=0,"",MINUTE(RawData!K142))</f>
        <v/>
      </c>
      <c r="D143" s="52" t="str">
        <f t="shared" si="4"/>
        <v/>
      </c>
      <c r="E143" s="53" t="str">
        <f t="shared" si="5"/>
        <v/>
      </c>
    </row>
    <row r="144" spans="1:5" ht="15.75" customHeight="1" x14ac:dyDescent="0.25">
      <c r="A144" s="60" t="str">
        <f>IF(RawData!C143="","",RawData!C143)</f>
        <v/>
      </c>
      <c r="B144" s="63" t="str">
        <f>IF(HOUR(RawData!K143)=0,"",HOUR(RawData!K143))</f>
        <v/>
      </c>
      <c r="C144" s="64" t="str">
        <f>IF(MINUTE(RawData!K143)=0,"",MINUTE(RawData!K143))</f>
        <v/>
      </c>
      <c r="D144" s="52" t="str">
        <f t="shared" si="4"/>
        <v/>
      </c>
      <c r="E144" s="53" t="str">
        <f t="shared" si="5"/>
        <v/>
      </c>
    </row>
    <row r="145" spans="1:5" ht="15.75" customHeight="1" x14ac:dyDescent="0.25">
      <c r="A145" s="60" t="str">
        <f>IF(RawData!C144="","",RawData!C144)</f>
        <v/>
      </c>
      <c r="B145" s="63" t="str">
        <f>IF(HOUR(RawData!K144)=0,"",HOUR(RawData!K144))</f>
        <v/>
      </c>
      <c r="C145" s="64" t="str">
        <f>IF(MINUTE(RawData!K144)=0,"",MINUTE(RawData!K144))</f>
        <v/>
      </c>
      <c r="D145" s="52" t="str">
        <f t="shared" si="4"/>
        <v/>
      </c>
      <c r="E145" s="53" t="str">
        <f t="shared" si="5"/>
        <v/>
      </c>
    </row>
    <row r="146" spans="1:5" ht="15.75" customHeight="1" x14ac:dyDescent="0.25">
      <c r="A146" s="60" t="str">
        <f>IF(RawData!C145="","",RawData!C145)</f>
        <v/>
      </c>
      <c r="B146" s="63" t="str">
        <f>IF(HOUR(RawData!K145)=0,"",HOUR(RawData!K145))</f>
        <v/>
      </c>
      <c r="C146" s="64" t="str">
        <f>IF(MINUTE(RawData!K145)=0,"",MINUTE(RawData!K145))</f>
        <v/>
      </c>
      <c r="D146" s="52" t="str">
        <f t="shared" si="4"/>
        <v/>
      </c>
      <c r="E146" s="53" t="str">
        <f t="shared" si="5"/>
        <v/>
      </c>
    </row>
    <row r="147" spans="1:5" ht="15.75" customHeight="1" x14ac:dyDescent="0.25">
      <c r="A147" s="60" t="str">
        <f>IF(RawData!C146="","",RawData!C146)</f>
        <v/>
      </c>
      <c r="B147" s="63" t="str">
        <f>IF(HOUR(RawData!K146)=0,"",HOUR(RawData!K146))</f>
        <v/>
      </c>
      <c r="C147" s="64" t="str">
        <f>IF(MINUTE(RawData!K146)=0,"",MINUTE(RawData!K146))</f>
        <v/>
      </c>
      <c r="D147" s="52" t="str">
        <f t="shared" si="4"/>
        <v/>
      </c>
      <c r="E147" s="53" t="str">
        <f t="shared" si="5"/>
        <v/>
      </c>
    </row>
    <row r="148" spans="1:5" ht="15.75" customHeight="1" x14ac:dyDescent="0.25">
      <c r="A148" s="60" t="str">
        <f>IF(RawData!C147="","",RawData!C147)</f>
        <v/>
      </c>
      <c r="B148" s="63" t="str">
        <f>IF(HOUR(RawData!K147)=0,"",HOUR(RawData!K147))</f>
        <v/>
      </c>
      <c r="C148" s="64" t="str">
        <f>IF(MINUTE(RawData!K147)=0,"",MINUTE(RawData!K147))</f>
        <v/>
      </c>
      <c r="D148" s="52" t="str">
        <f t="shared" si="4"/>
        <v/>
      </c>
      <c r="E148" s="53" t="str">
        <f t="shared" si="5"/>
        <v/>
      </c>
    </row>
    <row r="149" spans="1:5" ht="15.75" customHeight="1" x14ac:dyDescent="0.25">
      <c r="A149" s="60" t="str">
        <f>IF(RawData!C148="","",RawData!C148)</f>
        <v/>
      </c>
      <c r="B149" s="63" t="str">
        <f>IF(HOUR(RawData!K148)=0,"",HOUR(RawData!K148))</f>
        <v/>
      </c>
      <c r="C149" s="64" t="str">
        <f>IF(MINUTE(RawData!K148)=0,"",MINUTE(RawData!K148))</f>
        <v/>
      </c>
      <c r="D149" s="52" t="str">
        <f t="shared" si="4"/>
        <v/>
      </c>
      <c r="E149" s="53" t="str">
        <f t="shared" si="5"/>
        <v/>
      </c>
    </row>
    <row r="150" spans="1:5" ht="15.75" customHeight="1" x14ac:dyDescent="0.25">
      <c r="A150" s="60" t="str">
        <f>IF(RawData!C149="","",RawData!C149)</f>
        <v/>
      </c>
      <c r="B150" s="63" t="str">
        <f>IF(HOUR(RawData!K149)=0,"",HOUR(RawData!K149))</f>
        <v/>
      </c>
      <c r="C150" s="64" t="str">
        <f>IF(MINUTE(RawData!K149)=0,"",MINUTE(RawData!K149))</f>
        <v/>
      </c>
      <c r="D150" s="52" t="str">
        <f t="shared" si="4"/>
        <v/>
      </c>
      <c r="E150" s="53" t="str">
        <f t="shared" si="5"/>
        <v/>
      </c>
    </row>
    <row r="151" spans="1:5" ht="15.75" customHeight="1" x14ac:dyDescent="0.25">
      <c r="A151" s="60" t="str">
        <f>IF(RawData!C150="","",RawData!C150)</f>
        <v/>
      </c>
      <c r="B151" s="63" t="str">
        <f>IF(HOUR(RawData!K150)=0,"",HOUR(RawData!K150))</f>
        <v/>
      </c>
      <c r="C151" s="64" t="str">
        <f>IF(MINUTE(RawData!K150)=0,"",MINUTE(RawData!K150))</f>
        <v/>
      </c>
      <c r="D151" s="52" t="str">
        <f t="shared" si="4"/>
        <v/>
      </c>
      <c r="E151" s="53" t="str">
        <f t="shared" si="5"/>
        <v/>
      </c>
    </row>
    <row r="152" spans="1:5" ht="15.75" customHeight="1" x14ac:dyDescent="0.25">
      <c r="A152" s="60" t="str">
        <f>IF(RawData!C151="","",RawData!C151)</f>
        <v/>
      </c>
      <c r="B152" s="63" t="str">
        <f>IF(HOUR(RawData!K151)=0,"",HOUR(RawData!K151))</f>
        <v/>
      </c>
      <c r="C152" s="64" t="str">
        <f>IF(MINUTE(RawData!K151)=0,"",MINUTE(RawData!K151))</f>
        <v/>
      </c>
      <c r="D152" s="52" t="str">
        <f t="shared" si="4"/>
        <v/>
      </c>
      <c r="E152" s="53" t="str">
        <f t="shared" si="5"/>
        <v/>
      </c>
    </row>
    <row r="153" spans="1:5" ht="15.75" customHeight="1" x14ac:dyDescent="0.25">
      <c r="A153" s="60" t="str">
        <f>IF(RawData!C152="","",RawData!C152)</f>
        <v/>
      </c>
      <c r="B153" s="63" t="str">
        <f>IF(HOUR(RawData!K152)=0,"",HOUR(RawData!K152))</f>
        <v/>
      </c>
      <c r="C153" s="64" t="str">
        <f>IF(MINUTE(RawData!K152)=0,"",MINUTE(RawData!K152))</f>
        <v/>
      </c>
      <c r="D153" s="52" t="str">
        <f t="shared" si="4"/>
        <v/>
      </c>
      <c r="E153" s="53" t="str">
        <f t="shared" si="5"/>
        <v/>
      </c>
    </row>
    <row r="154" spans="1:5" ht="15.75" customHeight="1" x14ac:dyDescent="0.25">
      <c r="A154" s="60" t="str">
        <f>IF(RawData!C153="","",RawData!C153)</f>
        <v/>
      </c>
      <c r="B154" s="63" t="str">
        <f>IF(HOUR(RawData!K153)=0,"",HOUR(RawData!K153))</f>
        <v/>
      </c>
      <c r="C154" s="64" t="str">
        <f>IF(MINUTE(RawData!K153)=0,"",MINUTE(RawData!K153))</f>
        <v/>
      </c>
      <c r="D154" s="52" t="str">
        <f t="shared" si="4"/>
        <v/>
      </c>
      <c r="E154" s="53" t="str">
        <f t="shared" si="5"/>
        <v/>
      </c>
    </row>
    <row r="155" spans="1:5" ht="15.75" customHeight="1" x14ac:dyDescent="0.25">
      <c r="A155" s="60" t="str">
        <f>IF(RawData!C154="","",RawData!C154)</f>
        <v/>
      </c>
      <c r="B155" s="63" t="str">
        <f>IF(HOUR(RawData!K154)=0,"",HOUR(RawData!K154))</f>
        <v/>
      </c>
      <c r="C155" s="64" t="str">
        <f>IF(MINUTE(RawData!K154)=0,"",MINUTE(RawData!K154))</f>
        <v/>
      </c>
      <c r="D155" s="52" t="str">
        <f t="shared" si="4"/>
        <v/>
      </c>
      <c r="E155" s="53" t="str">
        <f t="shared" si="5"/>
        <v/>
      </c>
    </row>
    <row r="156" spans="1:5" ht="15.75" customHeight="1" x14ac:dyDescent="0.25">
      <c r="A156" s="60" t="str">
        <f>IF(RawData!C155="","",RawData!C155)</f>
        <v/>
      </c>
      <c r="B156" s="63" t="str">
        <f>IF(HOUR(RawData!K155)=0,"",HOUR(RawData!K155))</f>
        <v/>
      </c>
      <c r="C156" s="64" t="str">
        <f>IF(MINUTE(RawData!K155)=0,"",MINUTE(RawData!K155))</f>
        <v/>
      </c>
      <c r="D156" s="52" t="str">
        <f t="shared" si="4"/>
        <v/>
      </c>
      <c r="E156" s="53" t="str">
        <f t="shared" si="5"/>
        <v/>
      </c>
    </row>
    <row r="157" spans="1:5" ht="15.75" customHeight="1" x14ac:dyDescent="0.25">
      <c r="A157" s="60" t="str">
        <f>IF(RawData!C156="","",RawData!C156)</f>
        <v/>
      </c>
      <c r="B157" s="63" t="str">
        <f>IF(HOUR(RawData!K156)=0,"",HOUR(RawData!K156))</f>
        <v/>
      </c>
      <c r="C157" s="64" t="str">
        <f>IF(MINUTE(RawData!K156)=0,"",MINUTE(RawData!K156))</f>
        <v/>
      </c>
      <c r="D157" s="52" t="str">
        <f t="shared" si="4"/>
        <v/>
      </c>
      <c r="E157" s="53" t="str">
        <f t="shared" si="5"/>
        <v/>
      </c>
    </row>
    <row r="158" spans="1:5" ht="15.75" customHeight="1" x14ac:dyDescent="0.25">
      <c r="A158" s="60" t="str">
        <f>IF(RawData!C157="","",RawData!C157)</f>
        <v/>
      </c>
      <c r="B158" s="63" t="str">
        <f>IF(HOUR(RawData!K157)=0,"",HOUR(RawData!K157))</f>
        <v/>
      </c>
      <c r="C158" s="64" t="str">
        <f>IF(MINUTE(RawData!K157)=0,"",MINUTE(RawData!K157))</f>
        <v/>
      </c>
      <c r="D158" s="52" t="str">
        <f t="shared" si="4"/>
        <v/>
      </c>
      <c r="E158" s="53" t="str">
        <f t="shared" si="5"/>
        <v/>
      </c>
    </row>
    <row r="159" spans="1:5" ht="15.75" customHeight="1" x14ac:dyDescent="0.25">
      <c r="A159" s="60" t="str">
        <f>IF(RawData!C158="","",RawData!C158)</f>
        <v/>
      </c>
      <c r="B159" s="63" t="str">
        <f>IF(HOUR(RawData!K158)=0,"",HOUR(RawData!K158))</f>
        <v/>
      </c>
      <c r="C159" s="64" t="str">
        <f>IF(MINUTE(RawData!K158)=0,"",MINUTE(RawData!K158))</f>
        <v/>
      </c>
      <c r="D159" s="52" t="str">
        <f t="shared" si="4"/>
        <v/>
      </c>
      <c r="E159" s="53" t="str">
        <f t="shared" si="5"/>
        <v/>
      </c>
    </row>
    <row r="160" spans="1:5" ht="15.75" customHeight="1" x14ac:dyDescent="0.25">
      <c r="A160" s="60" t="str">
        <f>IF(RawData!C159="","",RawData!C159)</f>
        <v/>
      </c>
      <c r="B160" s="63" t="str">
        <f>IF(HOUR(RawData!K159)=0,"",HOUR(RawData!K159))</f>
        <v/>
      </c>
      <c r="C160" s="64" t="str">
        <f>IF(MINUTE(RawData!K159)=0,"",MINUTE(RawData!K159))</f>
        <v/>
      </c>
      <c r="D160" s="52" t="str">
        <f t="shared" si="4"/>
        <v/>
      </c>
      <c r="E160" s="53" t="str">
        <f t="shared" si="5"/>
        <v/>
      </c>
    </row>
    <row r="161" spans="1:5" ht="15.75" customHeight="1" x14ac:dyDescent="0.25">
      <c r="A161" s="60" t="str">
        <f>IF(RawData!C160="","",RawData!C160)</f>
        <v/>
      </c>
      <c r="B161" s="63" t="str">
        <f>IF(HOUR(RawData!K160)=0,"",HOUR(RawData!K160))</f>
        <v/>
      </c>
      <c r="C161" s="64" t="str">
        <f>IF(MINUTE(RawData!K160)=0,"",MINUTE(RawData!K160))</f>
        <v/>
      </c>
      <c r="D161" s="52" t="str">
        <f t="shared" si="4"/>
        <v/>
      </c>
      <c r="E161" s="53" t="str">
        <f t="shared" si="5"/>
        <v/>
      </c>
    </row>
    <row r="162" spans="1:5" ht="15.75" customHeight="1" x14ac:dyDescent="0.25">
      <c r="A162" s="60" t="str">
        <f>IF(RawData!C161="","",RawData!C161)</f>
        <v/>
      </c>
      <c r="B162" s="63" t="str">
        <f>IF(HOUR(RawData!K161)=0,"",HOUR(RawData!K161))</f>
        <v/>
      </c>
      <c r="C162" s="64" t="str">
        <f>IF(MINUTE(RawData!K161)=0,"",MINUTE(RawData!K161))</f>
        <v/>
      </c>
      <c r="D162" s="52" t="str">
        <f t="shared" si="4"/>
        <v/>
      </c>
      <c r="E162" s="53" t="str">
        <f t="shared" si="5"/>
        <v/>
      </c>
    </row>
    <row r="163" spans="1:5" ht="15.75" customHeight="1" x14ac:dyDescent="0.25">
      <c r="A163" s="60" t="str">
        <f>IF(RawData!C162="","",RawData!C162)</f>
        <v/>
      </c>
      <c r="B163" s="63" t="str">
        <f>IF(HOUR(RawData!K162)=0,"",HOUR(RawData!K162))</f>
        <v/>
      </c>
      <c r="C163" s="64" t="str">
        <f>IF(MINUTE(RawData!K162)=0,"",MINUTE(RawData!K162))</f>
        <v/>
      </c>
      <c r="D163" s="52" t="str">
        <f t="shared" si="4"/>
        <v/>
      </c>
      <c r="E163" s="53" t="str">
        <f t="shared" si="5"/>
        <v/>
      </c>
    </row>
    <row r="164" spans="1:5" ht="15.75" customHeight="1" x14ac:dyDescent="0.25">
      <c r="A164" s="60" t="str">
        <f>IF(RawData!C163="","",RawData!C163)</f>
        <v/>
      </c>
      <c r="B164" s="63" t="str">
        <f>IF(HOUR(RawData!K163)=0,"",HOUR(RawData!K163))</f>
        <v/>
      </c>
      <c r="C164" s="64" t="str">
        <f>IF(MINUTE(RawData!K163)=0,"",MINUTE(RawData!K163))</f>
        <v/>
      </c>
      <c r="D164" s="52" t="str">
        <f t="shared" si="4"/>
        <v/>
      </c>
      <c r="E164" s="53" t="str">
        <f t="shared" si="5"/>
        <v/>
      </c>
    </row>
    <row r="165" spans="1:5" ht="15.75" customHeight="1" x14ac:dyDescent="0.25">
      <c r="A165" s="60" t="str">
        <f>IF(RawData!C164="","",RawData!C164)</f>
        <v/>
      </c>
      <c r="B165" s="63" t="str">
        <f>IF(HOUR(RawData!K164)=0,"",HOUR(RawData!K164))</f>
        <v/>
      </c>
      <c r="C165" s="64" t="str">
        <f>IF(MINUTE(RawData!K164)=0,"",MINUTE(RawData!K164))</f>
        <v/>
      </c>
      <c r="D165" s="52" t="str">
        <f t="shared" si="4"/>
        <v/>
      </c>
      <c r="E165" s="53" t="str">
        <f t="shared" si="5"/>
        <v/>
      </c>
    </row>
    <row r="166" spans="1:5" ht="15.75" customHeight="1" x14ac:dyDescent="0.25">
      <c r="A166" s="60" t="str">
        <f>IF(RawData!C165="","",RawData!C165)</f>
        <v/>
      </c>
      <c r="B166" s="63" t="str">
        <f>IF(HOUR(RawData!K165)=0,"",HOUR(RawData!K165))</f>
        <v/>
      </c>
      <c r="C166" s="64" t="str">
        <f>IF(MINUTE(RawData!K165)=0,"",MINUTE(RawData!K165))</f>
        <v/>
      </c>
      <c r="D166" s="52" t="str">
        <f t="shared" si="4"/>
        <v/>
      </c>
      <c r="E166" s="53" t="str">
        <f t="shared" si="5"/>
        <v/>
      </c>
    </row>
    <row r="167" spans="1:5" ht="15.75" customHeight="1" x14ac:dyDescent="0.25">
      <c r="A167" s="60" t="str">
        <f>IF(RawData!C166="","",RawData!C166)</f>
        <v/>
      </c>
      <c r="B167" s="63" t="str">
        <f>IF(HOUR(RawData!K166)=0,"",HOUR(RawData!K166))</f>
        <v/>
      </c>
      <c r="C167" s="64" t="str">
        <f>IF(MINUTE(RawData!K166)=0,"",MINUTE(RawData!K166))</f>
        <v/>
      </c>
      <c r="D167" s="52" t="str">
        <f t="shared" si="4"/>
        <v/>
      </c>
      <c r="E167" s="53" t="str">
        <f t="shared" si="5"/>
        <v/>
      </c>
    </row>
    <row r="168" spans="1:5" ht="15.75" customHeight="1" x14ac:dyDescent="0.25">
      <c r="A168" s="60" t="str">
        <f>IF(RawData!C167="","",RawData!C167)</f>
        <v/>
      </c>
      <c r="B168" s="63" t="str">
        <f>IF(HOUR(RawData!K167)=0,"",HOUR(RawData!K167))</f>
        <v/>
      </c>
      <c r="C168" s="64" t="str">
        <f>IF(MINUTE(RawData!K167)=0,"",MINUTE(RawData!K167))</f>
        <v/>
      </c>
      <c r="D168" s="52" t="str">
        <f t="shared" si="4"/>
        <v/>
      </c>
      <c r="E168" s="53" t="str">
        <f t="shared" si="5"/>
        <v/>
      </c>
    </row>
    <row r="169" spans="1:5" ht="15.75" customHeight="1" x14ac:dyDescent="0.25">
      <c r="A169" s="60" t="str">
        <f>IF(RawData!C168="","",RawData!C168)</f>
        <v/>
      </c>
      <c r="B169" s="63" t="str">
        <f>IF(HOUR(RawData!K168)=0,"",HOUR(RawData!K168))</f>
        <v/>
      </c>
      <c r="C169" s="64" t="str">
        <f>IF(MINUTE(RawData!K168)=0,"",MINUTE(RawData!K168))</f>
        <v/>
      </c>
      <c r="D169" s="52" t="str">
        <f t="shared" si="4"/>
        <v/>
      </c>
      <c r="E169" s="53" t="str">
        <f t="shared" si="5"/>
        <v/>
      </c>
    </row>
    <row r="170" spans="1:5" ht="15.75" customHeight="1" x14ac:dyDescent="0.25">
      <c r="A170" s="60" t="str">
        <f>IF(RawData!C169="","",RawData!C169)</f>
        <v/>
      </c>
      <c r="B170" s="63" t="str">
        <f>IF(HOUR(RawData!K169)=0,"",HOUR(RawData!K169))</f>
        <v/>
      </c>
      <c r="C170" s="64" t="str">
        <f>IF(MINUTE(RawData!K169)=0,"",MINUTE(RawData!K169))</f>
        <v/>
      </c>
      <c r="D170" s="52" t="str">
        <f t="shared" si="4"/>
        <v/>
      </c>
      <c r="E170" s="53" t="str">
        <f t="shared" si="5"/>
        <v/>
      </c>
    </row>
    <row r="171" spans="1:5" ht="15.75" customHeight="1" x14ac:dyDescent="0.25">
      <c r="A171" s="60" t="str">
        <f>IF(RawData!C170="","",RawData!C170)</f>
        <v/>
      </c>
      <c r="B171" s="63" t="str">
        <f>IF(HOUR(RawData!K170)=0,"",HOUR(RawData!K170))</f>
        <v/>
      </c>
      <c r="C171" s="64" t="str">
        <f>IF(MINUTE(RawData!K170)=0,"",MINUTE(RawData!K170))</f>
        <v/>
      </c>
      <c r="D171" s="52" t="str">
        <f t="shared" si="4"/>
        <v/>
      </c>
      <c r="E171" s="53" t="str">
        <f t="shared" si="5"/>
        <v/>
      </c>
    </row>
    <row r="172" spans="1:5" ht="15.75" customHeight="1" x14ac:dyDescent="0.25">
      <c r="A172" s="60" t="str">
        <f>IF(RawData!C171="","",RawData!C171)</f>
        <v/>
      </c>
      <c r="B172" s="63" t="str">
        <f>IF(HOUR(RawData!K171)=0,"",HOUR(RawData!K171))</f>
        <v/>
      </c>
      <c r="C172" s="64" t="str">
        <f>IF(MINUTE(RawData!K171)=0,"",MINUTE(RawData!K171))</f>
        <v/>
      </c>
      <c r="D172" s="52" t="str">
        <f t="shared" si="4"/>
        <v/>
      </c>
      <c r="E172" s="53" t="str">
        <f t="shared" si="5"/>
        <v/>
      </c>
    </row>
    <row r="173" spans="1:5" ht="15.75" customHeight="1" x14ac:dyDescent="0.25">
      <c r="A173" s="60" t="str">
        <f>IF(RawData!C172="","",RawData!C172)</f>
        <v/>
      </c>
      <c r="B173" s="63" t="str">
        <f>IF(HOUR(RawData!K172)=0,"",HOUR(RawData!K172))</f>
        <v/>
      </c>
      <c r="C173" s="64" t="str">
        <f>IF(MINUTE(RawData!K172)=0,"",MINUTE(RawData!K172))</f>
        <v/>
      </c>
      <c r="D173" s="52" t="str">
        <f t="shared" si="4"/>
        <v/>
      </c>
      <c r="E173" s="53" t="str">
        <f t="shared" si="5"/>
        <v/>
      </c>
    </row>
    <row r="174" spans="1:5" ht="15.75" customHeight="1" x14ac:dyDescent="0.25">
      <c r="A174" s="60" t="str">
        <f>IF(RawData!C173="","",RawData!C173)</f>
        <v/>
      </c>
      <c r="B174" s="63" t="str">
        <f>IF(HOUR(RawData!K173)=0,"",HOUR(RawData!K173))</f>
        <v/>
      </c>
      <c r="C174" s="64" t="str">
        <f>IF(MINUTE(RawData!K173)=0,"",MINUTE(RawData!K173))</f>
        <v/>
      </c>
      <c r="D174" s="52" t="str">
        <f t="shared" si="4"/>
        <v/>
      </c>
      <c r="E174" s="53" t="str">
        <f t="shared" si="5"/>
        <v/>
      </c>
    </row>
    <row r="175" spans="1:5" ht="15.75" customHeight="1" x14ac:dyDescent="0.25">
      <c r="A175" s="60" t="str">
        <f>IF(RawData!C174="","",RawData!C174)</f>
        <v/>
      </c>
      <c r="B175" s="63" t="str">
        <f>IF(HOUR(RawData!K174)=0,"",HOUR(RawData!K174))</f>
        <v/>
      </c>
      <c r="C175" s="64" t="str">
        <f>IF(MINUTE(RawData!K174)=0,"",MINUTE(RawData!K174))</f>
        <v/>
      </c>
      <c r="D175" s="52" t="str">
        <f t="shared" si="4"/>
        <v/>
      </c>
      <c r="E175" s="53" t="str">
        <f t="shared" si="5"/>
        <v/>
      </c>
    </row>
    <row r="176" spans="1:5" ht="15.75" customHeight="1" x14ac:dyDescent="0.25">
      <c r="A176" s="60" t="str">
        <f>IF(RawData!C175="","",RawData!C175)</f>
        <v/>
      </c>
      <c r="B176" s="63" t="str">
        <f>IF(HOUR(RawData!K175)=0,"",HOUR(RawData!K175))</f>
        <v/>
      </c>
      <c r="C176" s="64" t="str">
        <f>IF(MINUTE(RawData!K175)=0,"",MINUTE(RawData!K175))</f>
        <v/>
      </c>
      <c r="D176" s="52" t="str">
        <f t="shared" si="4"/>
        <v/>
      </c>
      <c r="E176" s="53" t="str">
        <f t="shared" si="5"/>
        <v/>
      </c>
    </row>
    <row r="177" spans="1:5" ht="15.75" customHeight="1" x14ac:dyDescent="0.25">
      <c r="A177" s="60" t="str">
        <f>IF(RawData!C176="","",RawData!C176)</f>
        <v/>
      </c>
      <c r="B177" s="63" t="str">
        <f>IF(HOUR(RawData!K176)=0,"",HOUR(RawData!K176))</f>
        <v/>
      </c>
      <c r="C177" s="64" t="str">
        <f>IF(MINUTE(RawData!K176)=0,"",MINUTE(RawData!K176))</f>
        <v/>
      </c>
      <c r="D177" s="52" t="str">
        <f t="shared" si="4"/>
        <v/>
      </c>
      <c r="E177" s="53" t="str">
        <f t="shared" si="5"/>
        <v/>
      </c>
    </row>
    <row r="178" spans="1:5" ht="15.75" customHeight="1" x14ac:dyDescent="0.25">
      <c r="A178" s="60" t="str">
        <f>IF(RawData!C177="","",RawData!C177)</f>
        <v/>
      </c>
      <c r="B178" s="63" t="str">
        <f>IF(HOUR(RawData!K177)=0,"",HOUR(RawData!K177))</f>
        <v/>
      </c>
      <c r="C178" s="64" t="str">
        <f>IF(MINUTE(RawData!K177)=0,"",MINUTE(RawData!K177))</f>
        <v/>
      </c>
      <c r="D178" s="52" t="str">
        <f t="shared" si="4"/>
        <v/>
      </c>
      <c r="E178" s="53" t="str">
        <f t="shared" si="5"/>
        <v/>
      </c>
    </row>
    <row r="179" spans="1:5" ht="15.75" customHeight="1" x14ac:dyDescent="0.25">
      <c r="A179" s="60" t="str">
        <f>IF(RawData!C178="","",RawData!C178)</f>
        <v/>
      </c>
      <c r="B179" s="63" t="str">
        <f>IF(HOUR(RawData!K178)=0,"",HOUR(RawData!K178))</f>
        <v/>
      </c>
      <c r="C179" s="64" t="str">
        <f>IF(MINUTE(RawData!K178)=0,"",MINUTE(RawData!K178))</f>
        <v/>
      </c>
      <c r="D179" s="52" t="str">
        <f t="shared" si="4"/>
        <v/>
      </c>
      <c r="E179" s="53" t="str">
        <f t="shared" si="5"/>
        <v/>
      </c>
    </row>
    <row r="180" spans="1:5" ht="15.75" customHeight="1" x14ac:dyDescent="0.25">
      <c r="A180" s="60" t="str">
        <f>IF(RawData!C179="","",RawData!C179)</f>
        <v/>
      </c>
      <c r="B180" s="63" t="str">
        <f>IF(HOUR(RawData!K179)=0,"",HOUR(RawData!K179))</f>
        <v/>
      </c>
      <c r="C180" s="64" t="str">
        <f>IF(MINUTE(RawData!K179)=0,"",MINUTE(RawData!K179))</f>
        <v/>
      </c>
      <c r="D180" s="52" t="str">
        <f t="shared" si="4"/>
        <v/>
      </c>
      <c r="E180" s="53" t="str">
        <f t="shared" si="5"/>
        <v/>
      </c>
    </row>
    <row r="181" spans="1:5" ht="15.75" customHeight="1" x14ac:dyDescent="0.25">
      <c r="A181" s="60" t="str">
        <f>IF(RawData!C180="","",RawData!C180)</f>
        <v/>
      </c>
      <c r="B181" s="63" t="str">
        <f>IF(HOUR(RawData!K180)=0,"",HOUR(RawData!K180))</f>
        <v/>
      </c>
      <c r="C181" s="64" t="str">
        <f>IF(MINUTE(RawData!K180)=0,"",MINUTE(RawData!K180))</f>
        <v/>
      </c>
      <c r="D181" s="52" t="str">
        <f t="shared" si="4"/>
        <v/>
      </c>
      <c r="E181" s="53" t="str">
        <f t="shared" si="5"/>
        <v/>
      </c>
    </row>
    <row r="182" spans="1:5" ht="15.75" customHeight="1" x14ac:dyDescent="0.25">
      <c r="A182" s="60" t="str">
        <f>IF(RawData!C181="","",RawData!C181)</f>
        <v/>
      </c>
      <c r="B182" s="63" t="str">
        <f>IF(HOUR(RawData!K181)=0,"",HOUR(RawData!K181))</f>
        <v/>
      </c>
      <c r="C182" s="64" t="str">
        <f>IF(MINUTE(RawData!K181)=0,"",MINUTE(RawData!K181))</f>
        <v/>
      </c>
      <c r="D182" s="52" t="str">
        <f t="shared" si="4"/>
        <v/>
      </c>
      <c r="E182" s="53" t="str">
        <f t="shared" si="5"/>
        <v/>
      </c>
    </row>
    <row r="183" spans="1:5" ht="15.75" customHeight="1" x14ac:dyDescent="0.25">
      <c r="A183" s="60" t="str">
        <f>IF(RawData!C182="","",RawData!C182)</f>
        <v/>
      </c>
      <c r="B183" s="63" t="str">
        <f>IF(HOUR(RawData!K182)=0,"",HOUR(RawData!K182))</f>
        <v/>
      </c>
      <c r="C183" s="64" t="str">
        <f>IF(MINUTE(RawData!K182)=0,"",MINUTE(RawData!K182))</f>
        <v/>
      </c>
      <c r="D183" s="52" t="str">
        <f t="shared" si="4"/>
        <v/>
      </c>
      <c r="E183" s="53" t="str">
        <f t="shared" si="5"/>
        <v/>
      </c>
    </row>
    <row r="184" spans="1:5" ht="15.75" customHeight="1" x14ac:dyDescent="0.25">
      <c r="A184" s="60" t="str">
        <f>IF(RawData!C183="","",RawData!C183)</f>
        <v/>
      </c>
      <c r="B184" s="63" t="str">
        <f>IF(HOUR(RawData!K183)=0,"",HOUR(RawData!K183))</f>
        <v/>
      </c>
      <c r="C184" s="64" t="str">
        <f>IF(MINUTE(RawData!K183)=0,"",MINUTE(RawData!K183))</f>
        <v/>
      </c>
      <c r="D184" s="52" t="str">
        <f t="shared" si="4"/>
        <v/>
      </c>
      <c r="E184" s="53" t="str">
        <f t="shared" si="5"/>
        <v/>
      </c>
    </row>
    <row r="185" spans="1:5" ht="15.75" customHeight="1" x14ac:dyDescent="0.25">
      <c r="A185" s="60" t="str">
        <f>IF(RawData!C184="","",RawData!C184)</f>
        <v/>
      </c>
      <c r="B185" s="63" t="str">
        <f>IF(HOUR(RawData!K184)=0,"",HOUR(RawData!K184))</f>
        <v/>
      </c>
      <c r="C185" s="64" t="str">
        <f>IF(MINUTE(RawData!K184)=0,"",MINUTE(RawData!K184))</f>
        <v/>
      </c>
      <c r="D185" s="52" t="str">
        <f t="shared" si="4"/>
        <v/>
      </c>
      <c r="E185" s="53" t="str">
        <f t="shared" si="5"/>
        <v/>
      </c>
    </row>
    <row r="186" spans="1:5" ht="15.75" customHeight="1" x14ac:dyDescent="0.25">
      <c r="A186" s="60" t="str">
        <f>IF(RawData!C185="","",RawData!C185)</f>
        <v/>
      </c>
      <c r="B186" s="63" t="str">
        <f>IF(HOUR(RawData!K185)=0,"",HOUR(RawData!K185))</f>
        <v/>
      </c>
      <c r="C186" s="64" t="str">
        <f>IF(MINUTE(RawData!K185)=0,"",MINUTE(RawData!K185))</f>
        <v/>
      </c>
      <c r="D186" s="52" t="str">
        <f t="shared" si="4"/>
        <v/>
      </c>
      <c r="E186" s="53" t="str">
        <f t="shared" si="5"/>
        <v/>
      </c>
    </row>
    <row r="187" spans="1:5" ht="15.75" customHeight="1" x14ac:dyDescent="0.25">
      <c r="A187" s="60" t="str">
        <f>IF(RawData!C186="","",RawData!C186)</f>
        <v/>
      </c>
      <c r="B187" s="63" t="str">
        <f>IF(HOUR(RawData!K186)=0,"",HOUR(RawData!K186))</f>
        <v/>
      </c>
      <c r="C187" s="64" t="str">
        <f>IF(MINUTE(RawData!K186)=0,"",MINUTE(RawData!K186))</f>
        <v/>
      </c>
      <c r="D187" s="52" t="str">
        <f t="shared" si="4"/>
        <v/>
      </c>
      <c r="E187" s="53" t="str">
        <f t="shared" si="5"/>
        <v/>
      </c>
    </row>
    <row r="188" spans="1:5" ht="15.75" customHeight="1" x14ac:dyDescent="0.25">
      <c r="A188" s="60" t="str">
        <f>IF(RawData!C187="","",RawData!C187)</f>
        <v/>
      </c>
      <c r="B188" s="63" t="str">
        <f>IF(HOUR(RawData!K187)=0,"",HOUR(RawData!K187))</f>
        <v/>
      </c>
      <c r="C188" s="64" t="str">
        <f>IF(MINUTE(RawData!K187)=0,"",MINUTE(RawData!K187))</f>
        <v/>
      </c>
      <c r="D188" s="52" t="str">
        <f t="shared" si="4"/>
        <v/>
      </c>
      <c r="E188" s="53" t="str">
        <f t="shared" si="5"/>
        <v/>
      </c>
    </row>
    <row r="189" spans="1:5" ht="15.75" customHeight="1" x14ac:dyDescent="0.25">
      <c r="A189" s="60" t="str">
        <f>IF(RawData!C188="","",RawData!C188)</f>
        <v/>
      </c>
      <c r="B189" s="63" t="str">
        <f>IF(HOUR(RawData!K188)=0,"",HOUR(RawData!K188))</f>
        <v/>
      </c>
      <c r="C189" s="64" t="str">
        <f>IF(MINUTE(RawData!K188)=0,"",MINUTE(RawData!K188))</f>
        <v/>
      </c>
      <c r="D189" s="52" t="str">
        <f t="shared" si="4"/>
        <v/>
      </c>
      <c r="E189" s="53" t="str">
        <f t="shared" si="5"/>
        <v/>
      </c>
    </row>
    <row r="190" spans="1:5" ht="15.75" customHeight="1" x14ac:dyDescent="0.25">
      <c r="A190" s="60" t="str">
        <f>IF(RawData!C189="","",RawData!C189)</f>
        <v/>
      </c>
      <c r="B190" s="63" t="str">
        <f>IF(HOUR(RawData!K189)=0,"",HOUR(RawData!K189))</f>
        <v/>
      </c>
      <c r="C190" s="64" t="str">
        <f>IF(MINUTE(RawData!K189)=0,"",MINUTE(RawData!K189))</f>
        <v/>
      </c>
      <c r="D190" s="52" t="str">
        <f t="shared" si="4"/>
        <v/>
      </c>
      <c r="E190" s="53" t="str">
        <f t="shared" si="5"/>
        <v/>
      </c>
    </row>
    <row r="191" spans="1:5" ht="15.75" customHeight="1" x14ac:dyDescent="0.25">
      <c r="A191" s="60" t="str">
        <f>IF(RawData!C190="","",RawData!C190)</f>
        <v/>
      </c>
      <c r="B191" s="63" t="str">
        <f>IF(HOUR(RawData!K190)=0,"",HOUR(RawData!K190))</f>
        <v/>
      </c>
      <c r="C191" s="64" t="str">
        <f>IF(MINUTE(RawData!K190)=0,"",MINUTE(RawData!K190))</f>
        <v/>
      </c>
      <c r="D191" s="52" t="str">
        <f t="shared" si="4"/>
        <v/>
      </c>
      <c r="E191" s="53" t="str">
        <f t="shared" si="5"/>
        <v/>
      </c>
    </row>
    <row r="192" spans="1:5" ht="15.75" customHeight="1" x14ac:dyDescent="0.25">
      <c r="A192" s="60" t="str">
        <f>IF(RawData!C191="","",RawData!C191)</f>
        <v/>
      </c>
      <c r="B192" s="63" t="str">
        <f>IF(HOUR(RawData!K191)=0,"",HOUR(RawData!K191))</f>
        <v/>
      </c>
      <c r="C192" s="64" t="str">
        <f>IF(MINUTE(RawData!K191)=0,"",MINUTE(RawData!K191))</f>
        <v/>
      </c>
      <c r="D192" s="52" t="str">
        <f t="shared" si="4"/>
        <v/>
      </c>
      <c r="E192" s="53" t="str">
        <f t="shared" si="5"/>
        <v/>
      </c>
    </row>
    <row r="193" spans="1:5" ht="15.75" customHeight="1" x14ac:dyDescent="0.25">
      <c r="A193" s="60" t="str">
        <f>IF(RawData!C192="","",RawData!C192)</f>
        <v/>
      </c>
      <c r="B193" s="63" t="str">
        <f>IF(HOUR(RawData!K192)=0,"",HOUR(RawData!K192))</f>
        <v/>
      </c>
      <c r="C193" s="64" t="str">
        <f>IF(MINUTE(RawData!K192)=0,"",MINUTE(RawData!K192))</f>
        <v/>
      </c>
      <c r="D193" s="52" t="str">
        <f t="shared" si="4"/>
        <v/>
      </c>
      <c r="E193" s="53" t="str">
        <f t="shared" si="5"/>
        <v/>
      </c>
    </row>
    <row r="194" spans="1:5" ht="15.75" customHeight="1" x14ac:dyDescent="0.25">
      <c r="A194" s="60" t="str">
        <f>IF(RawData!C193="","",RawData!C193)</f>
        <v/>
      </c>
      <c r="B194" s="63" t="str">
        <f>IF(HOUR(RawData!K193)=0,"",HOUR(RawData!K193))</f>
        <v/>
      </c>
      <c r="C194" s="64" t="str">
        <f>IF(MINUTE(RawData!K193)=0,"",MINUTE(RawData!K193))</f>
        <v/>
      </c>
      <c r="D194" s="52" t="str">
        <f t="shared" si="4"/>
        <v/>
      </c>
      <c r="E194" s="53" t="str">
        <f t="shared" si="5"/>
        <v/>
      </c>
    </row>
    <row r="195" spans="1:5" ht="15.75" customHeight="1" x14ac:dyDescent="0.25">
      <c r="A195" s="60" t="str">
        <f>IF(RawData!C194="","",RawData!C194)</f>
        <v/>
      </c>
      <c r="B195" s="63" t="str">
        <f>IF(HOUR(RawData!K194)=0,"",HOUR(RawData!K194))</f>
        <v/>
      </c>
      <c r="C195" s="64" t="str">
        <f>IF(MINUTE(RawData!K194)=0,"",MINUTE(RawData!K194))</f>
        <v/>
      </c>
      <c r="D195" s="52" t="str">
        <f t="shared" si="4"/>
        <v/>
      </c>
      <c r="E195" s="53" t="str">
        <f t="shared" si="5"/>
        <v/>
      </c>
    </row>
    <row r="196" spans="1:5" ht="15.75" customHeight="1" x14ac:dyDescent="0.25">
      <c r="A196" s="60" t="str">
        <f>IF(RawData!C195="","",RawData!C195)</f>
        <v/>
      </c>
      <c r="B196" s="63" t="str">
        <f>IF(HOUR(RawData!K195)=0,"",HOUR(RawData!K195))</f>
        <v/>
      </c>
      <c r="C196" s="64" t="str">
        <f>IF(MINUTE(RawData!K195)=0,"",MINUTE(RawData!K195))</f>
        <v/>
      </c>
      <c r="D196" s="52" t="str">
        <f t="shared" ref="D196:D259" si="6">IF(OR(CONCATENATE(B196,C196)="",CONCATENATE(B196,C196)="00")=TRUE,"",9)</f>
        <v/>
      </c>
      <c r="E196" s="53" t="str">
        <f t="shared" ref="E196:E259" si="7">IF(OR(CONCATENATE(B196,C196)="",CONCATENATE(B196,C196)="00")=TRUE,"",15)</f>
        <v/>
      </c>
    </row>
    <row r="197" spans="1:5" ht="15.75" customHeight="1" x14ac:dyDescent="0.25">
      <c r="A197" s="60" t="str">
        <f>IF(RawData!C196="","",RawData!C196)</f>
        <v/>
      </c>
      <c r="B197" s="63" t="str">
        <f>IF(HOUR(RawData!K196)=0,"",HOUR(RawData!K196))</f>
        <v/>
      </c>
      <c r="C197" s="64" t="str">
        <f>IF(MINUTE(RawData!K196)=0,"",MINUTE(RawData!K196))</f>
        <v/>
      </c>
      <c r="D197" s="52" t="str">
        <f t="shared" si="6"/>
        <v/>
      </c>
      <c r="E197" s="53" t="str">
        <f t="shared" si="7"/>
        <v/>
      </c>
    </row>
    <row r="198" spans="1:5" ht="15.75" customHeight="1" x14ac:dyDescent="0.25">
      <c r="A198" s="60" t="str">
        <f>IF(RawData!C197="","",RawData!C197)</f>
        <v/>
      </c>
      <c r="B198" s="63" t="str">
        <f>IF(HOUR(RawData!K197)=0,"",HOUR(RawData!K197))</f>
        <v/>
      </c>
      <c r="C198" s="64" t="str">
        <f>IF(MINUTE(RawData!K197)=0,"",MINUTE(RawData!K197))</f>
        <v/>
      </c>
      <c r="D198" s="52" t="str">
        <f t="shared" si="6"/>
        <v/>
      </c>
      <c r="E198" s="53" t="str">
        <f t="shared" si="7"/>
        <v/>
      </c>
    </row>
    <row r="199" spans="1:5" ht="15.75" customHeight="1" x14ac:dyDescent="0.25">
      <c r="A199" s="60" t="str">
        <f>IF(RawData!C198="","",RawData!C198)</f>
        <v/>
      </c>
      <c r="B199" s="63" t="str">
        <f>IF(HOUR(RawData!K198)=0,"",HOUR(RawData!K198))</f>
        <v/>
      </c>
      <c r="C199" s="64" t="str">
        <f>IF(MINUTE(RawData!K198)=0,"",MINUTE(RawData!K198))</f>
        <v/>
      </c>
      <c r="D199" s="52" t="str">
        <f t="shared" si="6"/>
        <v/>
      </c>
      <c r="E199" s="53" t="str">
        <f t="shared" si="7"/>
        <v/>
      </c>
    </row>
    <row r="200" spans="1:5" ht="15.75" customHeight="1" x14ac:dyDescent="0.25">
      <c r="A200" s="60" t="str">
        <f>IF(RawData!C199="","",RawData!C199)</f>
        <v/>
      </c>
      <c r="B200" s="63" t="str">
        <f>IF(HOUR(RawData!K199)=0,"",HOUR(RawData!K199))</f>
        <v/>
      </c>
      <c r="C200" s="64" t="str">
        <f>IF(MINUTE(RawData!K199)=0,"",MINUTE(RawData!K199))</f>
        <v/>
      </c>
      <c r="D200" s="52" t="str">
        <f t="shared" si="6"/>
        <v/>
      </c>
      <c r="E200" s="53" t="str">
        <f t="shared" si="7"/>
        <v/>
      </c>
    </row>
    <row r="201" spans="1:5" ht="15.75" customHeight="1" x14ac:dyDescent="0.25">
      <c r="A201" s="60" t="str">
        <f>IF(RawData!C200="","",RawData!C200)</f>
        <v/>
      </c>
      <c r="B201" s="63" t="str">
        <f>IF(HOUR(RawData!K200)=0,"",HOUR(RawData!K200))</f>
        <v/>
      </c>
      <c r="C201" s="64" t="str">
        <f>IF(MINUTE(RawData!K200)=0,"",MINUTE(RawData!K200))</f>
        <v/>
      </c>
      <c r="D201" s="52" t="str">
        <f t="shared" si="6"/>
        <v/>
      </c>
      <c r="E201" s="53" t="str">
        <f t="shared" si="7"/>
        <v/>
      </c>
    </row>
    <row r="202" spans="1:5" ht="15.75" customHeight="1" x14ac:dyDescent="0.25">
      <c r="A202" s="60" t="str">
        <f>IF(RawData!C201="","",RawData!C201)</f>
        <v/>
      </c>
      <c r="B202" s="63" t="str">
        <f>IF(HOUR(RawData!K201)=0,"",HOUR(RawData!K201))</f>
        <v/>
      </c>
      <c r="C202" s="64" t="str">
        <f>IF(MINUTE(RawData!K201)=0,"",MINUTE(RawData!K201))</f>
        <v/>
      </c>
      <c r="D202" s="52" t="str">
        <f t="shared" si="6"/>
        <v/>
      </c>
      <c r="E202" s="53" t="str">
        <f t="shared" si="7"/>
        <v/>
      </c>
    </row>
    <row r="203" spans="1:5" ht="15.75" customHeight="1" x14ac:dyDescent="0.25">
      <c r="A203" s="60" t="str">
        <f>IF(RawData!C202="","",RawData!C202)</f>
        <v/>
      </c>
      <c r="B203" s="63" t="str">
        <f>IF(HOUR(RawData!K202)=0,"",HOUR(RawData!K202))</f>
        <v/>
      </c>
      <c r="C203" s="64" t="str">
        <f>IF(MINUTE(RawData!K202)=0,"",MINUTE(RawData!K202))</f>
        <v/>
      </c>
      <c r="D203" s="52" t="str">
        <f t="shared" si="6"/>
        <v/>
      </c>
      <c r="E203" s="53" t="str">
        <f t="shared" si="7"/>
        <v/>
      </c>
    </row>
    <row r="204" spans="1:5" ht="15.75" customHeight="1" x14ac:dyDescent="0.25">
      <c r="A204" s="60" t="str">
        <f>IF(RawData!C203="","",RawData!C203)</f>
        <v/>
      </c>
      <c r="B204" s="63" t="str">
        <f>IF(HOUR(RawData!K203)=0,"",HOUR(RawData!K203))</f>
        <v/>
      </c>
      <c r="C204" s="64" t="str">
        <f>IF(MINUTE(RawData!K203)=0,"",MINUTE(RawData!K203))</f>
        <v/>
      </c>
      <c r="D204" s="52" t="str">
        <f t="shared" si="6"/>
        <v/>
      </c>
      <c r="E204" s="53" t="str">
        <f t="shared" si="7"/>
        <v/>
      </c>
    </row>
    <row r="205" spans="1:5" ht="15.75" customHeight="1" x14ac:dyDescent="0.25">
      <c r="A205" s="60" t="str">
        <f>IF(RawData!C204="","",RawData!C204)</f>
        <v/>
      </c>
      <c r="B205" s="63" t="str">
        <f>IF(HOUR(RawData!K204)=0,"",HOUR(RawData!K204))</f>
        <v/>
      </c>
      <c r="C205" s="64" t="str">
        <f>IF(MINUTE(RawData!K204)=0,"",MINUTE(RawData!K204))</f>
        <v/>
      </c>
      <c r="D205" s="52" t="str">
        <f t="shared" si="6"/>
        <v/>
      </c>
      <c r="E205" s="53" t="str">
        <f t="shared" si="7"/>
        <v/>
      </c>
    </row>
    <row r="206" spans="1:5" ht="15.75" customHeight="1" x14ac:dyDescent="0.25">
      <c r="A206" s="60" t="str">
        <f>IF(RawData!C205="","",RawData!C205)</f>
        <v/>
      </c>
      <c r="B206" s="63" t="str">
        <f>IF(HOUR(RawData!K205)=0,"",HOUR(RawData!K205))</f>
        <v/>
      </c>
      <c r="C206" s="64" t="str">
        <f>IF(MINUTE(RawData!K205)=0,"",MINUTE(RawData!K205))</f>
        <v/>
      </c>
      <c r="D206" s="52" t="str">
        <f t="shared" si="6"/>
        <v/>
      </c>
      <c r="E206" s="53" t="str">
        <f t="shared" si="7"/>
        <v/>
      </c>
    </row>
    <row r="207" spans="1:5" ht="15.75" customHeight="1" x14ac:dyDescent="0.25">
      <c r="A207" s="60" t="str">
        <f>IF(RawData!C206="","",RawData!C206)</f>
        <v/>
      </c>
      <c r="B207" s="63" t="str">
        <f>IF(HOUR(RawData!K206)=0,"",HOUR(RawData!K206))</f>
        <v/>
      </c>
      <c r="C207" s="64" t="str">
        <f>IF(MINUTE(RawData!K206)=0,"",MINUTE(RawData!K206))</f>
        <v/>
      </c>
      <c r="D207" s="52" t="str">
        <f t="shared" si="6"/>
        <v/>
      </c>
      <c r="E207" s="53" t="str">
        <f t="shared" si="7"/>
        <v/>
      </c>
    </row>
    <row r="208" spans="1:5" ht="15.75" customHeight="1" x14ac:dyDescent="0.25">
      <c r="A208" s="60" t="str">
        <f>IF(RawData!C207="","",RawData!C207)</f>
        <v/>
      </c>
      <c r="B208" s="63" t="str">
        <f>IF(HOUR(RawData!K207)=0,"",HOUR(RawData!K207))</f>
        <v/>
      </c>
      <c r="C208" s="64" t="str">
        <f>IF(MINUTE(RawData!K207)=0,"",MINUTE(RawData!K207))</f>
        <v/>
      </c>
      <c r="D208" s="52" t="str">
        <f t="shared" si="6"/>
        <v/>
      </c>
      <c r="E208" s="53" t="str">
        <f t="shared" si="7"/>
        <v/>
      </c>
    </row>
    <row r="209" spans="1:5" ht="15.75" customHeight="1" x14ac:dyDescent="0.25">
      <c r="A209" s="60" t="str">
        <f>IF(RawData!C208="","",RawData!C208)</f>
        <v/>
      </c>
      <c r="B209" s="63" t="str">
        <f>IF(HOUR(RawData!K208)=0,"",HOUR(RawData!K208))</f>
        <v/>
      </c>
      <c r="C209" s="64" t="str">
        <f>IF(MINUTE(RawData!K208)=0,"",MINUTE(RawData!K208))</f>
        <v/>
      </c>
      <c r="D209" s="52" t="str">
        <f t="shared" si="6"/>
        <v/>
      </c>
      <c r="E209" s="53" t="str">
        <f t="shared" si="7"/>
        <v/>
      </c>
    </row>
    <row r="210" spans="1:5" ht="15.75" customHeight="1" x14ac:dyDescent="0.25">
      <c r="A210" s="60" t="str">
        <f>IF(RawData!C209="","",RawData!C209)</f>
        <v/>
      </c>
      <c r="B210" s="63" t="str">
        <f>IF(HOUR(RawData!K209)=0,"",HOUR(RawData!K209))</f>
        <v/>
      </c>
      <c r="C210" s="64" t="str">
        <f>IF(MINUTE(RawData!K209)=0,"",MINUTE(RawData!K209))</f>
        <v/>
      </c>
      <c r="D210" s="52" t="str">
        <f t="shared" si="6"/>
        <v/>
      </c>
      <c r="E210" s="53" t="str">
        <f t="shared" si="7"/>
        <v/>
      </c>
    </row>
    <row r="211" spans="1:5" ht="15.75" customHeight="1" x14ac:dyDescent="0.25">
      <c r="A211" s="60" t="str">
        <f>IF(RawData!C210="","",RawData!C210)</f>
        <v/>
      </c>
      <c r="B211" s="63" t="str">
        <f>IF(HOUR(RawData!K210)=0,"",HOUR(RawData!K210))</f>
        <v/>
      </c>
      <c r="C211" s="64" t="str">
        <f>IF(MINUTE(RawData!K210)=0,"",MINUTE(RawData!K210))</f>
        <v/>
      </c>
      <c r="D211" s="52" t="str">
        <f t="shared" si="6"/>
        <v/>
      </c>
      <c r="E211" s="53" t="str">
        <f t="shared" si="7"/>
        <v/>
      </c>
    </row>
    <row r="212" spans="1:5" ht="15.75" customHeight="1" x14ac:dyDescent="0.25">
      <c r="A212" s="60" t="str">
        <f>IF(RawData!C211="","",RawData!C211)</f>
        <v/>
      </c>
      <c r="B212" s="63" t="str">
        <f>IF(HOUR(RawData!K211)=0,"",HOUR(RawData!K211))</f>
        <v/>
      </c>
      <c r="C212" s="64" t="str">
        <f>IF(MINUTE(RawData!K211)=0,"",MINUTE(RawData!K211))</f>
        <v/>
      </c>
      <c r="D212" s="52" t="str">
        <f t="shared" si="6"/>
        <v/>
      </c>
      <c r="E212" s="53" t="str">
        <f t="shared" si="7"/>
        <v/>
      </c>
    </row>
    <row r="213" spans="1:5" ht="15.75" customHeight="1" x14ac:dyDescent="0.25">
      <c r="A213" s="60" t="str">
        <f>IF(RawData!C212="","",RawData!C212)</f>
        <v/>
      </c>
      <c r="B213" s="63" t="str">
        <f>IF(HOUR(RawData!K212)=0,"",HOUR(RawData!K212))</f>
        <v/>
      </c>
      <c r="C213" s="64" t="str">
        <f>IF(MINUTE(RawData!K212)=0,"",MINUTE(RawData!K212))</f>
        <v/>
      </c>
      <c r="D213" s="52" t="str">
        <f t="shared" si="6"/>
        <v/>
      </c>
      <c r="E213" s="53" t="str">
        <f t="shared" si="7"/>
        <v/>
      </c>
    </row>
    <row r="214" spans="1:5" ht="15.75" customHeight="1" x14ac:dyDescent="0.25">
      <c r="A214" s="60" t="str">
        <f>IF(RawData!C213="","",RawData!C213)</f>
        <v/>
      </c>
      <c r="B214" s="63" t="str">
        <f>IF(HOUR(RawData!K213)=0,"",HOUR(RawData!K213))</f>
        <v/>
      </c>
      <c r="C214" s="64" t="str">
        <f>IF(MINUTE(RawData!K213)=0,"",MINUTE(RawData!K213))</f>
        <v/>
      </c>
      <c r="D214" s="52" t="str">
        <f t="shared" si="6"/>
        <v/>
      </c>
      <c r="E214" s="53" t="str">
        <f t="shared" si="7"/>
        <v/>
      </c>
    </row>
    <row r="215" spans="1:5" ht="15.75" customHeight="1" x14ac:dyDescent="0.25">
      <c r="A215" s="60" t="str">
        <f>IF(RawData!C214="","",RawData!C214)</f>
        <v/>
      </c>
      <c r="B215" s="63" t="str">
        <f>IF(HOUR(RawData!K214)=0,"",HOUR(RawData!K214))</f>
        <v/>
      </c>
      <c r="C215" s="64" t="str">
        <f>IF(MINUTE(RawData!K214)=0,"",MINUTE(RawData!K214))</f>
        <v/>
      </c>
      <c r="D215" s="52" t="str">
        <f t="shared" si="6"/>
        <v/>
      </c>
      <c r="E215" s="53" t="str">
        <f t="shared" si="7"/>
        <v/>
      </c>
    </row>
    <row r="216" spans="1:5" ht="15.75" customHeight="1" x14ac:dyDescent="0.25">
      <c r="A216" s="60" t="str">
        <f>IF(RawData!C215="","",RawData!C215)</f>
        <v/>
      </c>
      <c r="B216" s="63" t="str">
        <f>IF(HOUR(RawData!K215)=0,"",HOUR(RawData!K215))</f>
        <v/>
      </c>
      <c r="C216" s="64" t="str">
        <f>IF(MINUTE(RawData!K215)=0,"",MINUTE(RawData!K215))</f>
        <v/>
      </c>
      <c r="D216" s="52" t="str">
        <f t="shared" si="6"/>
        <v/>
      </c>
      <c r="E216" s="53" t="str">
        <f t="shared" si="7"/>
        <v/>
      </c>
    </row>
    <row r="217" spans="1:5" ht="15.75" customHeight="1" x14ac:dyDescent="0.25">
      <c r="A217" s="60" t="str">
        <f>IF(RawData!C216="","",RawData!C216)</f>
        <v/>
      </c>
      <c r="B217" s="63" t="str">
        <f>IF(HOUR(RawData!K216)=0,"",HOUR(RawData!K216))</f>
        <v/>
      </c>
      <c r="C217" s="64" t="str">
        <f>IF(MINUTE(RawData!K216)=0,"",MINUTE(RawData!K216))</f>
        <v/>
      </c>
      <c r="D217" s="52" t="str">
        <f t="shared" si="6"/>
        <v/>
      </c>
      <c r="E217" s="53" t="str">
        <f t="shared" si="7"/>
        <v/>
      </c>
    </row>
    <row r="218" spans="1:5" ht="15.75" customHeight="1" x14ac:dyDescent="0.25">
      <c r="A218" s="60" t="str">
        <f>IF(RawData!C217="","",RawData!C217)</f>
        <v/>
      </c>
      <c r="B218" s="63" t="str">
        <f>IF(HOUR(RawData!K217)=0,"",HOUR(RawData!K217))</f>
        <v/>
      </c>
      <c r="C218" s="64" t="str">
        <f>IF(MINUTE(RawData!K217)=0,"",MINUTE(RawData!K217))</f>
        <v/>
      </c>
      <c r="D218" s="52" t="str">
        <f t="shared" si="6"/>
        <v/>
      </c>
      <c r="E218" s="53" t="str">
        <f t="shared" si="7"/>
        <v/>
      </c>
    </row>
    <row r="219" spans="1:5" ht="15.75" customHeight="1" x14ac:dyDescent="0.25">
      <c r="A219" s="60" t="str">
        <f>IF(RawData!C218="","",RawData!C218)</f>
        <v/>
      </c>
      <c r="B219" s="63" t="str">
        <f>IF(HOUR(RawData!K218)=0,"",HOUR(RawData!K218))</f>
        <v/>
      </c>
      <c r="C219" s="64" t="str">
        <f>IF(MINUTE(RawData!K218)=0,"",MINUTE(RawData!K218))</f>
        <v/>
      </c>
      <c r="D219" s="52" t="str">
        <f t="shared" si="6"/>
        <v/>
      </c>
      <c r="E219" s="53" t="str">
        <f t="shared" si="7"/>
        <v/>
      </c>
    </row>
    <row r="220" spans="1:5" ht="15.75" customHeight="1" x14ac:dyDescent="0.25">
      <c r="A220" s="60" t="str">
        <f>IF(RawData!C219="","",RawData!C219)</f>
        <v/>
      </c>
      <c r="B220" s="63" t="str">
        <f>IF(HOUR(RawData!K219)=0,"",HOUR(RawData!K219))</f>
        <v/>
      </c>
      <c r="C220" s="64" t="str">
        <f>IF(MINUTE(RawData!K219)=0,"",MINUTE(RawData!K219))</f>
        <v/>
      </c>
      <c r="D220" s="52" t="str">
        <f t="shared" si="6"/>
        <v/>
      </c>
      <c r="E220" s="53" t="str">
        <f t="shared" si="7"/>
        <v/>
      </c>
    </row>
    <row r="221" spans="1:5" ht="15.75" customHeight="1" x14ac:dyDescent="0.25">
      <c r="A221" s="60" t="str">
        <f>IF(RawData!C220="","",RawData!C220)</f>
        <v/>
      </c>
      <c r="B221" s="63" t="str">
        <f>IF(HOUR(RawData!K220)=0,"",HOUR(RawData!K220))</f>
        <v/>
      </c>
      <c r="C221" s="64" t="str">
        <f>IF(MINUTE(RawData!K220)=0,"",MINUTE(RawData!K220))</f>
        <v/>
      </c>
      <c r="D221" s="52" t="str">
        <f t="shared" si="6"/>
        <v/>
      </c>
      <c r="E221" s="53" t="str">
        <f t="shared" si="7"/>
        <v/>
      </c>
    </row>
    <row r="222" spans="1:5" ht="15.75" customHeight="1" x14ac:dyDescent="0.25">
      <c r="A222" s="60" t="str">
        <f>IF(RawData!C221="","",RawData!C221)</f>
        <v/>
      </c>
      <c r="B222" s="63" t="str">
        <f>IF(HOUR(RawData!K221)=0,"",HOUR(RawData!K221))</f>
        <v/>
      </c>
      <c r="C222" s="64" t="str">
        <f>IF(MINUTE(RawData!K221)=0,"",MINUTE(RawData!K221))</f>
        <v/>
      </c>
      <c r="D222" s="52" t="str">
        <f t="shared" si="6"/>
        <v/>
      </c>
      <c r="E222" s="53" t="str">
        <f t="shared" si="7"/>
        <v/>
      </c>
    </row>
    <row r="223" spans="1:5" ht="15.75" customHeight="1" x14ac:dyDescent="0.25">
      <c r="A223" s="60" t="str">
        <f>IF(RawData!C222="","",RawData!C222)</f>
        <v/>
      </c>
      <c r="B223" s="63" t="str">
        <f>IF(HOUR(RawData!K222)=0,"",HOUR(RawData!K222))</f>
        <v/>
      </c>
      <c r="C223" s="64" t="str">
        <f>IF(MINUTE(RawData!K222)=0,"",MINUTE(RawData!K222))</f>
        <v/>
      </c>
      <c r="D223" s="52" t="str">
        <f t="shared" si="6"/>
        <v/>
      </c>
      <c r="E223" s="53" t="str">
        <f t="shared" si="7"/>
        <v/>
      </c>
    </row>
    <row r="224" spans="1:5" ht="15.75" customHeight="1" x14ac:dyDescent="0.25">
      <c r="A224" s="60" t="str">
        <f>IF(RawData!C223="","",RawData!C223)</f>
        <v/>
      </c>
      <c r="B224" s="63" t="str">
        <f>IF(HOUR(RawData!K223)=0,"",HOUR(RawData!K223))</f>
        <v/>
      </c>
      <c r="C224" s="64" t="str">
        <f>IF(MINUTE(RawData!K223)=0,"",MINUTE(RawData!K223))</f>
        <v/>
      </c>
      <c r="D224" s="52" t="str">
        <f t="shared" si="6"/>
        <v/>
      </c>
      <c r="E224" s="53" t="str">
        <f t="shared" si="7"/>
        <v/>
      </c>
    </row>
    <row r="225" spans="1:5" ht="15.75" customHeight="1" x14ac:dyDescent="0.25">
      <c r="A225" s="60" t="str">
        <f>IF(RawData!C224="","",RawData!C224)</f>
        <v/>
      </c>
      <c r="B225" s="63" t="str">
        <f>IF(HOUR(RawData!K224)=0,"",HOUR(RawData!K224))</f>
        <v/>
      </c>
      <c r="C225" s="64" t="str">
        <f>IF(MINUTE(RawData!K224)=0,"",MINUTE(RawData!K224))</f>
        <v/>
      </c>
      <c r="D225" s="52" t="str">
        <f t="shared" si="6"/>
        <v/>
      </c>
      <c r="E225" s="53" t="str">
        <f t="shared" si="7"/>
        <v/>
      </c>
    </row>
    <row r="226" spans="1:5" ht="15.75" customHeight="1" x14ac:dyDescent="0.25">
      <c r="A226" s="60" t="str">
        <f>IF(RawData!C225="","",RawData!C225)</f>
        <v/>
      </c>
      <c r="B226" s="63" t="str">
        <f>IF(HOUR(RawData!K225)=0,"",HOUR(RawData!K225))</f>
        <v/>
      </c>
      <c r="C226" s="64" t="str">
        <f>IF(MINUTE(RawData!K225)=0,"",MINUTE(RawData!K225))</f>
        <v/>
      </c>
      <c r="D226" s="52" t="str">
        <f t="shared" si="6"/>
        <v/>
      </c>
      <c r="E226" s="53" t="str">
        <f t="shared" si="7"/>
        <v/>
      </c>
    </row>
    <row r="227" spans="1:5" ht="15.75" customHeight="1" x14ac:dyDescent="0.25">
      <c r="A227" s="60" t="str">
        <f>IF(RawData!C226="","",RawData!C226)</f>
        <v/>
      </c>
      <c r="B227" s="63" t="str">
        <f>IF(HOUR(RawData!K226)=0,"",HOUR(RawData!K226))</f>
        <v/>
      </c>
      <c r="C227" s="64" t="str">
        <f>IF(MINUTE(RawData!K226)=0,"",MINUTE(RawData!K226))</f>
        <v/>
      </c>
      <c r="D227" s="52" t="str">
        <f t="shared" si="6"/>
        <v/>
      </c>
      <c r="E227" s="53" t="str">
        <f t="shared" si="7"/>
        <v/>
      </c>
    </row>
    <row r="228" spans="1:5" ht="15.75" customHeight="1" x14ac:dyDescent="0.25">
      <c r="A228" s="60" t="str">
        <f>IF(RawData!C227="","",RawData!C227)</f>
        <v/>
      </c>
      <c r="B228" s="63" t="str">
        <f>IF(HOUR(RawData!K227)=0,"",HOUR(RawData!K227))</f>
        <v/>
      </c>
      <c r="C228" s="64" t="str">
        <f>IF(MINUTE(RawData!K227)=0,"",MINUTE(RawData!K227))</f>
        <v/>
      </c>
      <c r="D228" s="52" t="str">
        <f t="shared" si="6"/>
        <v/>
      </c>
      <c r="E228" s="53" t="str">
        <f t="shared" si="7"/>
        <v/>
      </c>
    </row>
    <row r="229" spans="1:5" ht="15.75" customHeight="1" x14ac:dyDescent="0.25">
      <c r="A229" s="60" t="str">
        <f>IF(RawData!C228="","",RawData!C228)</f>
        <v/>
      </c>
      <c r="B229" s="63" t="str">
        <f>IF(HOUR(RawData!K228)=0,"",HOUR(RawData!K228))</f>
        <v/>
      </c>
      <c r="C229" s="64" t="str">
        <f>IF(MINUTE(RawData!K228)=0,"",MINUTE(RawData!K228))</f>
        <v/>
      </c>
      <c r="D229" s="52" t="str">
        <f t="shared" si="6"/>
        <v/>
      </c>
      <c r="E229" s="53" t="str">
        <f t="shared" si="7"/>
        <v/>
      </c>
    </row>
    <row r="230" spans="1:5" ht="15.75" customHeight="1" x14ac:dyDescent="0.25">
      <c r="A230" s="60" t="str">
        <f>IF(RawData!C229="","",RawData!C229)</f>
        <v/>
      </c>
      <c r="B230" s="63" t="str">
        <f>IF(HOUR(RawData!K229)=0,"",HOUR(RawData!K229))</f>
        <v/>
      </c>
      <c r="C230" s="64" t="str">
        <f>IF(MINUTE(RawData!K229)=0,"",MINUTE(RawData!K229))</f>
        <v/>
      </c>
      <c r="D230" s="52" t="str">
        <f t="shared" si="6"/>
        <v/>
      </c>
      <c r="E230" s="53" t="str">
        <f t="shared" si="7"/>
        <v/>
      </c>
    </row>
    <row r="231" spans="1:5" ht="15.75" customHeight="1" x14ac:dyDescent="0.25">
      <c r="A231" s="60" t="str">
        <f>IF(RawData!C230="","",RawData!C230)</f>
        <v/>
      </c>
      <c r="B231" s="63" t="str">
        <f>IF(HOUR(RawData!K230)=0,"",HOUR(RawData!K230))</f>
        <v/>
      </c>
      <c r="C231" s="64" t="str">
        <f>IF(MINUTE(RawData!K230)=0,"",MINUTE(RawData!K230))</f>
        <v/>
      </c>
      <c r="D231" s="52" t="str">
        <f t="shared" si="6"/>
        <v/>
      </c>
      <c r="E231" s="53" t="str">
        <f t="shared" si="7"/>
        <v/>
      </c>
    </row>
    <row r="232" spans="1:5" ht="15.75" customHeight="1" x14ac:dyDescent="0.25">
      <c r="A232" s="60" t="str">
        <f>IF(RawData!C231="","",RawData!C231)</f>
        <v/>
      </c>
      <c r="B232" s="63" t="str">
        <f>IF(HOUR(RawData!K231)=0,"",HOUR(RawData!K231))</f>
        <v/>
      </c>
      <c r="C232" s="64" t="str">
        <f>IF(MINUTE(RawData!K231)=0,"",MINUTE(RawData!K231))</f>
        <v/>
      </c>
      <c r="D232" s="52" t="str">
        <f t="shared" si="6"/>
        <v/>
      </c>
      <c r="E232" s="53" t="str">
        <f t="shared" si="7"/>
        <v/>
      </c>
    </row>
    <row r="233" spans="1:5" ht="15.75" customHeight="1" x14ac:dyDescent="0.25">
      <c r="A233" s="60" t="str">
        <f>IF(RawData!C232="","",RawData!C232)</f>
        <v/>
      </c>
      <c r="B233" s="63" t="str">
        <f>IF(HOUR(RawData!K232)=0,"",HOUR(RawData!K232))</f>
        <v/>
      </c>
      <c r="C233" s="64" t="str">
        <f>IF(MINUTE(RawData!K232)=0,"",MINUTE(RawData!K232))</f>
        <v/>
      </c>
      <c r="D233" s="52" t="str">
        <f t="shared" si="6"/>
        <v/>
      </c>
      <c r="E233" s="53" t="str">
        <f t="shared" si="7"/>
        <v/>
      </c>
    </row>
    <row r="234" spans="1:5" ht="15.75" customHeight="1" x14ac:dyDescent="0.25">
      <c r="A234" s="60" t="str">
        <f>IF(RawData!C233="","",RawData!C233)</f>
        <v/>
      </c>
      <c r="B234" s="63" t="str">
        <f>IF(HOUR(RawData!K233)=0,"",HOUR(RawData!K233))</f>
        <v/>
      </c>
      <c r="C234" s="64" t="str">
        <f>IF(MINUTE(RawData!K233)=0,"",MINUTE(RawData!K233))</f>
        <v/>
      </c>
      <c r="D234" s="52" t="str">
        <f t="shared" si="6"/>
        <v/>
      </c>
      <c r="E234" s="53" t="str">
        <f t="shared" si="7"/>
        <v/>
      </c>
    </row>
    <row r="235" spans="1:5" ht="15.75" customHeight="1" x14ac:dyDescent="0.25">
      <c r="A235" s="60" t="str">
        <f>IF(RawData!C234="","",RawData!C234)</f>
        <v/>
      </c>
      <c r="B235" s="63" t="str">
        <f>IF(HOUR(RawData!K234)=0,"",HOUR(RawData!K234))</f>
        <v/>
      </c>
      <c r="C235" s="64" t="str">
        <f>IF(MINUTE(RawData!K234)=0,"",MINUTE(RawData!K234))</f>
        <v/>
      </c>
      <c r="D235" s="52" t="str">
        <f t="shared" si="6"/>
        <v/>
      </c>
      <c r="E235" s="53" t="str">
        <f t="shared" si="7"/>
        <v/>
      </c>
    </row>
    <row r="236" spans="1:5" ht="15.75" customHeight="1" x14ac:dyDescent="0.25">
      <c r="A236" s="60" t="str">
        <f>IF(RawData!C235="","",RawData!C235)</f>
        <v/>
      </c>
      <c r="B236" s="63" t="str">
        <f>IF(HOUR(RawData!K235)=0,"",HOUR(RawData!K235))</f>
        <v/>
      </c>
      <c r="C236" s="64" t="str">
        <f>IF(MINUTE(RawData!K235)=0,"",MINUTE(RawData!K235))</f>
        <v/>
      </c>
      <c r="D236" s="52" t="str">
        <f t="shared" si="6"/>
        <v/>
      </c>
      <c r="E236" s="53" t="str">
        <f t="shared" si="7"/>
        <v/>
      </c>
    </row>
    <row r="237" spans="1:5" ht="15.75" customHeight="1" x14ac:dyDescent="0.25">
      <c r="A237" s="60" t="str">
        <f>IF(RawData!C236="","",RawData!C236)</f>
        <v/>
      </c>
      <c r="B237" s="63" t="str">
        <f>IF(HOUR(RawData!K236)=0,"",HOUR(RawData!K236))</f>
        <v/>
      </c>
      <c r="C237" s="64" t="str">
        <f>IF(MINUTE(RawData!K236)=0,"",MINUTE(RawData!K236))</f>
        <v/>
      </c>
      <c r="D237" s="52" t="str">
        <f t="shared" si="6"/>
        <v/>
      </c>
      <c r="E237" s="53" t="str">
        <f t="shared" si="7"/>
        <v/>
      </c>
    </row>
    <row r="238" spans="1:5" ht="15.75" customHeight="1" x14ac:dyDescent="0.25">
      <c r="A238" s="60" t="str">
        <f>IF(RawData!C237="","",RawData!C237)</f>
        <v/>
      </c>
      <c r="B238" s="63" t="str">
        <f>IF(HOUR(RawData!K237)=0,"",HOUR(RawData!K237))</f>
        <v/>
      </c>
      <c r="C238" s="64" t="str">
        <f>IF(MINUTE(RawData!K237)=0,"",MINUTE(RawData!K237))</f>
        <v/>
      </c>
      <c r="D238" s="52" t="str">
        <f t="shared" si="6"/>
        <v/>
      </c>
      <c r="E238" s="53" t="str">
        <f t="shared" si="7"/>
        <v/>
      </c>
    </row>
    <row r="239" spans="1:5" ht="15.75" customHeight="1" x14ac:dyDescent="0.25">
      <c r="A239" s="60" t="str">
        <f>IF(RawData!C238="","",RawData!C238)</f>
        <v/>
      </c>
      <c r="B239" s="63" t="str">
        <f>IF(HOUR(RawData!K238)=0,"",HOUR(RawData!K238))</f>
        <v/>
      </c>
      <c r="C239" s="64" t="str">
        <f>IF(MINUTE(RawData!K238)=0,"",MINUTE(RawData!K238))</f>
        <v/>
      </c>
      <c r="D239" s="52" t="str">
        <f t="shared" si="6"/>
        <v/>
      </c>
      <c r="E239" s="53" t="str">
        <f t="shared" si="7"/>
        <v/>
      </c>
    </row>
    <row r="240" spans="1:5" ht="15.75" customHeight="1" x14ac:dyDescent="0.25">
      <c r="A240" s="60" t="str">
        <f>IF(RawData!C239="","",RawData!C239)</f>
        <v/>
      </c>
      <c r="B240" s="63" t="str">
        <f>IF(HOUR(RawData!K239)=0,"",HOUR(RawData!K239))</f>
        <v/>
      </c>
      <c r="C240" s="64" t="str">
        <f>IF(MINUTE(RawData!K239)=0,"",MINUTE(RawData!K239))</f>
        <v/>
      </c>
      <c r="D240" s="52" t="str">
        <f t="shared" si="6"/>
        <v/>
      </c>
      <c r="E240" s="53" t="str">
        <f t="shared" si="7"/>
        <v/>
      </c>
    </row>
    <row r="241" spans="1:5" ht="15.75" customHeight="1" x14ac:dyDescent="0.25">
      <c r="A241" s="60" t="str">
        <f>IF(RawData!C240="","",RawData!C240)</f>
        <v/>
      </c>
      <c r="B241" s="63" t="str">
        <f>IF(HOUR(RawData!K240)=0,"",HOUR(RawData!K240))</f>
        <v/>
      </c>
      <c r="C241" s="64" t="str">
        <f>IF(MINUTE(RawData!K240)=0,"",MINUTE(RawData!K240))</f>
        <v/>
      </c>
      <c r="D241" s="52" t="str">
        <f t="shared" si="6"/>
        <v/>
      </c>
      <c r="E241" s="53" t="str">
        <f t="shared" si="7"/>
        <v/>
      </c>
    </row>
    <row r="242" spans="1:5" ht="15.75" customHeight="1" x14ac:dyDescent="0.25">
      <c r="A242" s="60" t="str">
        <f>IF(RawData!C241="","",RawData!C241)</f>
        <v/>
      </c>
      <c r="B242" s="63" t="str">
        <f>IF(HOUR(RawData!K241)=0,"",HOUR(RawData!K241))</f>
        <v/>
      </c>
      <c r="C242" s="64" t="str">
        <f>IF(MINUTE(RawData!K241)=0,"",MINUTE(RawData!K241))</f>
        <v/>
      </c>
      <c r="D242" s="52" t="str">
        <f t="shared" si="6"/>
        <v/>
      </c>
      <c r="E242" s="53" t="str">
        <f t="shared" si="7"/>
        <v/>
      </c>
    </row>
    <row r="243" spans="1:5" ht="15.75" customHeight="1" x14ac:dyDescent="0.25">
      <c r="A243" s="60" t="str">
        <f>IF(RawData!C242="","",RawData!C242)</f>
        <v/>
      </c>
      <c r="B243" s="63" t="str">
        <f>IF(HOUR(RawData!K242)=0,"",HOUR(RawData!K242))</f>
        <v/>
      </c>
      <c r="C243" s="64" t="str">
        <f>IF(MINUTE(RawData!K242)=0,"",MINUTE(RawData!K242))</f>
        <v/>
      </c>
      <c r="D243" s="52" t="str">
        <f t="shared" si="6"/>
        <v/>
      </c>
      <c r="E243" s="53" t="str">
        <f t="shared" si="7"/>
        <v/>
      </c>
    </row>
    <row r="244" spans="1:5" ht="15.75" customHeight="1" x14ac:dyDescent="0.25">
      <c r="A244" s="60" t="str">
        <f>IF(RawData!C243="","",RawData!C243)</f>
        <v/>
      </c>
      <c r="B244" s="63" t="str">
        <f>IF(HOUR(RawData!K243)=0,"",HOUR(RawData!K243))</f>
        <v/>
      </c>
      <c r="C244" s="64" t="str">
        <f>IF(MINUTE(RawData!K243)=0,"",MINUTE(RawData!K243))</f>
        <v/>
      </c>
      <c r="D244" s="52" t="str">
        <f t="shared" si="6"/>
        <v/>
      </c>
      <c r="E244" s="53" t="str">
        <f t="shared" si="7"/>
        <v/>
      </c>
    </row>
    <row r="245" spans="1:5" ht="15.75" customHeight="1" x14ac:dyDescent="0.25">
      <c r="A245" s="60" t="str">
        <f>IF(RawData!C244="","",RawData!C244)</f>
        <v/>
      </c>
      <c r="B245" s="63" t="str">
        <f>IF(HOUR(RawData!K244)=0,"",HOUR(RawData!K244))</f>
        <v/>
      </c>
      <c r="C245" s="64" t="str">
        <f>IF(MINUTE(RawData!K244)=0,"",MINUTE(RawData!K244))</f>
        <v/>
      </c>
      <c r="D245" s="52" t="str">
        <f t="shared" si="6"/>
        <v/>
      </c>
      <c r="E245" s="53" t="str">
        <f t="shared" si="7"/>
        <v/>
      </c>
    </row>
    <row r="246" spans="1:5" ht="15.75" customHeight="1" x14ac:dyDescent="0.25">
      <c r="A246" s="60" t="str">
        <f>IF(RawData!C245="","",RawData!C245)</f>
        <v/>
      </c>
      <c r="B246" s="63" t="str">
        <f>IF(HOUR(RawData!K245)=0,"",HOUR(RawData!K245))</f>
        <v/>
      </c>
      <c r="C246" s="64" t="str">
        <f>IF(MINUTE(RawData!K245)=0,"",MINUTE(RawData!K245))</f>
        <v/>
      </c>
      <c r="D246" s="52" t="str">
        <f t="shared" si="6"/>
        <v/>
      </c>
      <c r="E246" s="53" t="str">
        <f t="shared" si="7"/>
        <v/>
      </c>
    </row>
    <row r="247" spans="1:5" ht="15.75" customHeight="1" x14ac:dyDescent="0.25">
      <c r="A247" s="60" t="str">
        <f>IF(RawData!C246="","",RawData!C246)</f>
        <v/>
      </c>
      <c r="B247" s="63" t="str">
        <f>IF(HOUR(RawData!K246)=0,"",HOUR(RawData!K246))</f>
        <v/>
      </c>
      <c r="C247" s="64" t="str">
        <f>IF(MINUTE(RawData!K246)=0,"",MINUTE(RawData!K246))</f>
        <v/>
      </c>
      <c r="D247" s="52" t="str">
        <f t="shared" si="6"/>
        <v/>
      </c>
      <c r="E247" s="53" t="str">
        <f t="shared" si="7"/>
        <v/>
      </c>
    </row>
    <row r="248" spans="1:5" ht="15.75" customHeight="1" x14ac:dyDescent="0.25">
      <c r="A248" s="60" t="str">
        <f>IF(RawData!C247="","",RawData!C247)</f>
        <v/>
      </c>
      <c r="B248" s="63" t="str">
        <f>IF(HOUR(RawData!K247)=0,"",HOUR(RawData!K247))</f>
        <v/>
      </c>
      <c r="C248" s="64" t="str">
        <f>IF(MINUTE(RawData!K247)=0,"",MINUTE(RawData!K247))</f>
        <v/>
      </c>
      <c r="D248" s="52" t="str">
        <f t="shared" si="6"/>
        <v/>
      </c>
      <c r="E248" s="53" t="str">
        <f t="shared" si="7"/>
        <v/>
      </c>
    </row>
    <row r="249" spans="1:5" ht="15.75" customHeight="1" x14ac:dyDescent="0.25">
      <c r="A249" s="60" t="str">
        <f>IF(RawData!C248="","",RawData!C248)</f>
        <v/>
      </c>
      <c r="B249" s="63" t="str">
        <f>IF(HOUR(RawData!K248)=0,"",HOUR(RawData!K248))</f>
        <v/>
      </c>
      <c r="C249" s="64" t="str">
        <f>IF(MINUTE(RawData!K248)=0,"",MINUTE(RawData!K248))</f>
        <v/>
      </c>
      <c r="D249" s="52" t="str">
        <f t="shared" si="6"/>
        <v/>
      </c>
      <c r="E249" s="53" t="str">
        <f t="shared" si="7"/>
        <v/>
      </c>
    </row>
    <row r="250" spans="1:5" ht="15.75" customHeight="1" x14ac:dyDescent="0.25">
      <c r="A250" s="60" t="str">
        <f>IF(RawData!C249="","",RawData!C249)</f>
        <v/>
      </c>
      <c r="B250" s="63" t="str">
        <f>IF(HOUR(RawData!K249)=0,"",HOUR(RawData!K249))</f>
        <v/>
      </c>
      <c r="C250" s="64" t="str">
        <f>IF(MINUTE(RawData!K249)=0,"",MINUTE(RawData!K249))</f>
        <v/>
      </c>
      <c r="D250" s="52" t="str">
        <f t="shared" si="6"/>
        <v/>
      </c>
      <c r="E250" s="53" t="str">
        <f t="shared" si="7"/>
        <v/>
      </c>
    </row>
    <row r="251" spans="1:5" ht="15.75" customHeight="1" x14ac:dyDescent="0.25">
      <c r="A251" s="60" t="str">
        <f>IF(RawData!C250="","",RawData!C250)</f>
        <v/>
      </c>
      <c r="B251" s="63" t="str">
        <f>IF(HOUR(RawData!K250)=0,"",HOUR(RawData!K250))</f>
        <v/>
      </c>
      <c r="C251" s="64" t="str">
        <f>IF(MINUTE(RawData!K250)=0,"",MINUTE(RawData!K250))</f>
        <v/>
      </c>
      <c r="D251" s="52" t="str">
        <f t="shared" si="6"/>
        <v/>
      </c>
      <c r="E251" s="53" t="str">
        <f t="shared" si="7"/>
        <v/>
      </c>
    </row>
    <row r="252" spans="1:5" ht="15.75" customHeight="1" x14ac:dyDescent="0.25">
      <c r="A252" s="60" t="str">
        <f>IF(RawData!C251="","",RawData!C251)</f>
        <v/>
      </c>
      <c r="B252" s="63" t="str">
        <f>IF(HOUR(RawData!K251)=0,"",HOUR(RawData!K251))</f>
        <v/>
      </c>
      <c r="C252" s="64" t="str">
        <f>IF(MINUTE(RawData!K251)=0,"",MINUTE(RawData!K251))</f>
        <v/>
      </c>
      <c r="D252" s="52" t="str">
        <f t="shared" si="6"/>
        <v/>
      </c>
      <c r="E252" s="53" t="str">
        <f t="shared" si="7"/>
        <v/>
      </c>
    </row>
    <row r="253" spans="1:5" ht="15.75" customHeight="1" x14ac:dyDescent="0.25">
      <c r="A253" s="60" t="str">
        <f>IF(RawData!C252="","",RawData!C252)</f>
        <v/>
      </c>
      <c r="B253" s="63" t="str">
        <f>IF(HOUR(RawData!K252)=0,"",HOUR(RawData!K252))</f>
        <v/>
      </c>
      <c r="C253" s="64" t="str">
        <f>IF(MINUTE(RawData!K252)=0,"",MINUTE(RawData!K252))</f>
        <v/>
      </c>
      <c r="D253" s="52" t="str">
        <f t="shared" si="6"/>
        <v/>
      </c>
      <c r="E253" s="53" t="str">
        <f t="shared" si="7"/>
        <v/>
      </c>
    </row>
    <row r="254" spans="1:5" ht="15.75" customHeight="1" x14ac:dyDescent="0.25">
      <c r="A254" s="60" t="str">
        <f>IF(RawData!C253="","",RawData!C253)</f>
        <v/>
      </c>
      <c r="B254" s="63" t="str">
        <f>IF(HOUR(RawData!K253)=0,"",HOUR(RawData!K253))</f>
        <v/>
      </c>
      <c r="C254" s="64" t="str">
        <f>IF(MINUTE(RawData!K253)=0,"",MINUTE(RawData!K253))</f>
        <v/>
      </c>
      <c r="D254" s="52" t="str">
        <f t="shared" si="6"/>
        <v/>
      </c>
      <c r="E254" s="53" t="str">
        <f t="shared" si="7"/>
        <v/>
      </c>
    </row>
    <row r="255" spans="1:5" ht="15.75" customHeight="1" x14ac:dyDescent="0.25">
      <c r="A255" s="60" t="str">
        <f>IF(RawData!C254="","",RawData!C254)</f>
        <v/>
      </c>
      <c r="B255" s="63" t="str">
        <f>IF(HOUR(RawData!K254)=0,"",HOUR(RawData!K254))</f>
        <v/>
      </c>
      <c r="C255" s="64" t="str">
        <f>IF(MINUTE(RawData!K254)=0,"",MINUTE(RawData!K254))</f>
        <v/>
      </c>
      <c r="D255" s="52" t="str">
        <f t="shared" si="6"/>
        <v/>
      </c>
      <c r="E255" s="53" t="str">
        <f t="shared" si="7"/>
        <v/>
      </c>
    </row>
    <row r="256" spans="1:5" ht="15.75" customHeight="1" x14ac:dyDescent="0.25">
      <c r="A256" s="60" t="str">
        <f>IF(RawData!C255="","",RawData!C255)</f>
        <v/>
      </c>
      <c r="B256" s="63" t="str">
        <f>IF(HOUR(RawData!K255)=0,"",HOUR(RawData!K255))</f>
        <v/>
      </c>
      <c r="C256" s="64" t="str">
        <f>IF(MINUTE(RawData!K255)=0,"",MINUTE(RawData!K255))</f>
        <v/>
      </c>
      <c r="D256" s="52" t="str">
        <f t="shared" si="6"/>
        <v/>
      </c>
      <c r="E256" s="53" t="str">
        <f t="shared" si="7"/>
        <v/>
      </c>
    </row>
    <row r="257" spans="1:5" ht="15.75" customHeight="1" x14ac:dyDescent="0.25">
      <c r="A257" s="60" t="str">
        <f>IF(RawData!C256="","",RawData!C256)</f>
        <v/>
      </c>
      <c r="B257" s="63" t="str">
        <f>IF(HOUR(RawData!K256)=0,"",HOUR(RawData!K256))</f>
        <v/>
      </c>
      <c r="C257" s="64" t="str">
        <f>IF(MINUTE(RawData!K256)=0,"",MINUTE(RawData!K256))</f>
        <v/>
      </c>
      <c r="D257" s="52" t="str">
        <f t="shared" si="6"/>
        <v/>
      </c>
      <c r="E257" s="53" t="str">
        <f t="shared" si="7"/>
        <v/>
      </c>
    </row>
    <row r="258" spans="1:5" ht="15.75" customHeight="1" x14ac:dyDescent="0.25">
      <c r="A258" s="60" t="str">
        <f>IF(RawData!C257="","",RawData!C257)</f>
        <v/>
      </c>
      <c r="B258" s="63" t="str">
        <f>IF(HOUR(RawData!K257)=0,"",HOUR(RawData!K257))</f>
        <v/>
      </c>
      <c r="C258" s="64" t="str">
        <f>IF(MINUTE(RawData!K257)=0,"",MINUTE(RawData!K257))</f>
        <v/>
      </c>
      <c r="D258" s="52" t="str">
        <f t="shared" si="6"/>
        <v/>
      </c>
      <c r="E258" s="53" t="str">
        <f t="shared" si="7"/>
        <v/>
      </c>
    </row>
    <row r="259" spans="1:5" ht="15.75" customHeight="1" x14ac:dyDescent="0.25">
      <c r="A259" s="60" t="str">
        <f>IF(RawData!C258="","",RawData!C258)</f>
        <v/>
      </c>
      <c r="B259" s="63" t="str">
        <f>IF(HOUR(RawData!K258)=0,"",HOUR(RawData!K258))</f>
        <v/>
      </c>
      <c r="C259" s="64" t="str">
        <f>IF(MINUTE(RawData!K258)=0,"",MINUTE(RawData!K258))</f>
        <v/>
      </c>
      <c r="D259" s="52" t="str">
        <f t="shared" si="6"/>
        <v/>
      </c>
      <c r="E259" s="53" t="str">
        <f t="shared" si="7"/>
        <v/>
      </c>
    </row>
    <row r="260" spans="1:5" ht="15.75" customHeight="1" x14ac:dyDescent="0.25">
      <c r="A260" s="60" t="str">
        <f>IF(RawData!C259="","",RawData!C259)</f>
        <v/>
      </c>
      <c r="B260" s="63" t="str">
        <f>IF(HOUR(RawData!K259)=0,"",HOUR(RawData!K259))</f>
        <v/>
      </c>
      <c r="C260" s="64" t="str">
        <f>IF(MINUTE(RawData!K259)=0,"",MINUTE(RawData!K259))</f>
        <v/>
      </c>
      <c r="D260" s="52" t="str">
        <f t="shared" ref="D260:D323" si="8">IF(OR(CONCATENATE(B260,C260)="",CONCATENATE(B260,C260)="00")=TRUE,"",9)</f>
        <v/>
      </c>
      <c r="E260" s="53" t="str">
        <f t="shared" ref="E260:E323" si="9">IF(OR(CONCATENATE(B260,C260)="",CONCATENATE(B260,C260)="00")=TRUE,"",15)</f>
        <v/>
      </c>
    </row>
    <row r="261" spans="1:5" ht="15.75" customHeight="1" x14ac:dyDescent="0.25">
      <c r="A261" s="60" t="str">
        <f>IF(RawData!C260="","",RawData!C260)</f>
        <v/>
      </c>
      <c r="B261" s="63" t="str">
        <f>IF(HOUR(RawData!K260)=0,"",HOUR(RawData!K260))</f>
        <v/>
      </c>
      <c r="C261" s="64" t="str">
        <f>IF(MINUTE(RawData!K260)=0,"",MINUTE(RawData!K260))</f>
        <v/>
      </c>
      <c r="D261" s="52" t="str">
        <f t="shared" si="8"/>
        <v/>
      </c>
      <c r="E261" s="53" t="str">
        <f t="shared" si="9"/>
        <v/>
      </c>
    </row>
    <row r="262" spans="1:5" ht="15.75" customHeight="1" x14ac:dyDescent="0.25">
      <c r="A262" s="60" t="str">
        <f>IF(RawData!C261="","",RawData!C261)</f>
        <v/>
      </c>
      <c r="B262" s="63" t="str">
        <f>IF(HOUR(RawData!K261)=0,"",HOUR(RawData!K261))</f>
        <v/>
      </c>
      <c r="C262" s="64" t="str">
        <f>IF(MINUTE(RawData!K261)=0,"",MINUTE(RawData!K261))</f>
        <v/>
      </c>
      <c r="D262" s="52" t="str">
        <f t="shared" si="8"/>
        <v/>
      </c>
      <c r="E262" s="53" t="str">
        <f t="shared" si="9"/>
        <v/>
      </c>
    </row>
    <row r="263" spans="1:5" ht="15.75" customHeight="1" x14ac:dyDescent="0.25">
      <c r="A263" s="60" t="str">
        <f>IF(RawData!C262="","",RawData!C262)</f>
        <v/>
      </c>
      <c r="B263" s="63" t="str">
        <f>IF(HOUR(RawData!K262)=0,"",HOUR(RawData!K262))</f>
        <v/>
      </c>
      <c r="C263" s="64" t="str">
        <f>IF(MINUTE(RawData!K262)=0,"",MINUTE(RawData!K262))</f>
        <v/>
      </c>
      <c r="D263" s="52" t="str">
        <f t="shared" si="8"/>
        <v/>
      </c>
      <c r="E263" s="53" t="str">
        <f t="shared" si="9"/>
        <v/>
      </c>
    </row>
    <row r="264" spans="1:5" ht="15.75" customHeight="1" x14ac:dyDescent="0.25">
      <c r="A264" s="60" t="str">
        <f>IF(RawData!C263="","",RawData!C263)</f>
        <v/>
      </c>
      <c r="B264" s="63" t="str">
        <f>IF(HOUR(RawData!K263)=0,"",HOUR(RawData!K263))</f>
        <v/>
      </c>
      <c r="C264" s="64" t="str">
        <f>IF(MINUTE(RawData!K263)=0,"",MINUTE(RawData!K263))</f>
        <v/>
      </c>
      <c r="D264" s="52" t="str">
        <f t="shared" si="8"/>
        <v/>
      </c>
      <c r="E264" s="53" t="str">
        <f t="shared" si="9"/>
        <v/>
      </c>
    </row>
    <row r="265" spans="1:5" ht="15.75" customHeight="1" x14ac:dyDescent="0.25">
      <c r="A265" s="60" t="str">
        <f>IF(RawData!C264="","",RawData!C264)</f>
        <v/>
      </c>
      <c r="B265" s="63" t="str">
        <f>IF(HOUR(RawData!K264)=0,"",HOUR(RawData!K264))</f>
        <v/>
      </c>
      <c r="C265" s="64" t="str">
        <f>IF(MINUTE(RawData!K264)=0,"",MINUTE(RawData!K264))</f>
        <v/>
      </c>
      <c r="D265" s="52" t="str">
        <f t="shared" si="8"/>
        <v/>
      </c>
      <c r="E265" s="53" t="str">
        <f t="shared" si="9"/>
        <v/>
      </c>
    </row>
    <row r="266" spans="1:5" ht="15.75" customHeight="1" x14ac:dyDescent="0.25">
      <c r="A266" s="60" t="str">
        <f>IF(RawData!C265="","",RawData!C265)</f>
        <v/>
      </c>
      <c r="B266" s="63" t="str">
        <f>IF(HOUR(RawData!K265)=0,"",HOUR(RawData!K265))</f>
        <v/>
      </c>
      <c r="C266" s="64" t="str">
        <f>IF(MINUTE(RawData!K265)=0,"",MINUTE(RawData!K265))</f>
        <v/>
      </c>
      <c r="D266" s="52" t="str">
        <f t="shared" si="8"/>
        <v/>
      </c>
      <c r="E266" s="53" t="str">
        <f t="shared" si="9"/>
        <v/>
      </c>
    </row>
    <row r="267" spans="1:5" ht="15.75" customHeight="1" x14ac:dyDescent="0.25">
      <c r="A267" s="60" t="str">
        <f>IF(RawData!C266="","",RawData!C266)</f>
        <v/>
      </c>
      <c r="B267" s="63" t="str">
        <f>IF(HOUR(RawData!K266)=0,"",HOUR(RawData!K266))</f>
        <v/>
      </c>
      <c r="C267" s="64" t="str">
        <f>IF(MINUTE(RawData!K266)=0,"",MINUTE(RawData!K266))</f>
        <v/>
      </c>
      <c r="D267" s="52" t="str">
        <f t="shared" si="8"/>
        <v/>
      </c>
      <c r="E267" s="53" t="str">
        <f t="shared" si="9"/>
        <v/>
      </c>
    </row>
    <row r="268" spans="1:5" ht="15.75" customHeight="1" x14ac:dyDescent="0.25">
      <c r="A268" s="60" t="str">
        <f>IF(RawData!C267="","",RawData!C267)</f>
        <v/>
      </c>
      <c r="B268" s="63" t="str">
        <f>IF(HOUR(RawData!K267)=0,"",HOUR(RawData!K267))</f>
        <v/>
      </c>
      <c r="C268" s="64" t="str">
        <f>IF(MINUTE(RawData!K267)=0,"",MINUTE(RawData!K267))</f>
        <v/>
      </c>
      <c r="D268" s="52" t="str">
        <f t="shared" si="8"/>
        <v/>
      </c>
      <c r="E268" s="53" t="str">
        <f t="shared" si="9"/>
        <v/>
      </c>
    </row>
    <row r="269" spans="1:5" ht="15.75" customHeight="1" x14ac:dyDescent="0.25">
      <c r="A269" s="60" t="str">
        <f>IF(RawData!C268="","",RawData!C268)</f>
        <v/>
      </c>
      <c r="B269" s="63" t="str">
        <f>IF(HOUR(RawData!K268)=0,"",HOUR(RawData!K268))</f>
        <v/>
      </c>
      <c r="C269" s="64" t="str">
        <f>IF(MINUTE(RawData!K268)=0,"",MINUTE(RawData!K268))</f>
        <v/>
      </c>
      <c r="D269" s="52" t="str">
        <f t="shared" si="8"/>
        <v/>
      </c>
      <c r="E269" s="53" t="str">
        <f t="shared" si="9"/>
        <v/>
      </c>
    </row>
    <row r="270" spans="1:5" ht="15.75" customHeight="1" x14ac:dyDescent="0.25">
      <c r="A270" s="60" t="str">
        <f>IF(RawData!C269="","",RawData!C269)</f>
        <v/>
      </c>
      <c r="B270" s="63" t="str">
        <f>IF(HOUR(RawData!K269)=0,"",HOUR(RawData!K269))</f>
        <v/>
      </c>
      <c r="C270" s="64" t="str">
        <f>IF(MINUTE(RawData!K269)=0,"",MINUTE(RawData!K269))</f>
        <v/>
      </c>
      <c r="D270" s="52" t="str">
        <f t="shared" si="8"/>
        <v/>
      </c>
      <c r="E270" s="53" t="str">
        <f t="shared" si="9"/>
        <v/>
      </c>
    </row>
    <row r="271" spans="1:5" ht="15.75" customHeight="1" x14ac:dyDescent="0.25">
      <c r="A271" s="60" t="str">
        <f>IF(RawData!C270="","",RawData!C270)</f>
        <v/>
      </c>
      <c r="B271" s="63" t="str">
        <f>IF(HOUR(RawData!K270)=0,"",HOUR(RawData!K270))</f>
        <v/>
      </c>
      <c r="C271" s="64" t="str">
        <f>IF(MINUTE(RawData!K270)=0,"",MINUTE(RawData!K270))</f>
        <v/>
      </c>
      <c r="D271" s="52" t="str">
        <f t="shared" si="8"/>
        <v/>
      </c>
      <c r="E271" s="53" t="str">
        <f t="shared" si="9"/>
        <v/>
      </c>
    </row>
    <row r="272" spans="1:5" ht="15.75" customHeight="1" x14ac:dyDescent="0.25">
      <c r="A272" s="60" t="str">
        <f>IF(RawData!C271="","",RawData!C271)</f>
        <v/>
      </c>
      <c r="B272" s="63" t="str">
        <f>IF(HOUR(RawData!K271)=0,"",HOUR(RawData!K271))</f>
        <v/>
      </c>
      <c r="C272" s="64" t="str">
        <f>IF(MINUTE(RawData!K271)=0,"",MINUTE(RawData!K271))</f>
        <v/>
      </c>
      <c r="D272" s="52" t="str">
        <f t="shared" si="8"/>
        <v/>
      </c>
      <c r="E272" s="53" t="str">
        <f t="shared" si="9"/>
        <v/>
      </c>
    </row>
    <row r="273" spans="1:5" ht="15.75" customHeight="1" x14ac:dyDescent="0.25">
      <c r="A273" s="60" t="str">
        <f>IF(RawData!C272="","",RawData!C272)</f>
        <v/>
      </c>
      <c r="B273" s="63" t="str">
        <f>IF(HOUR(RawData!K272)=0,"",HOUR(RawData!K272))</f>
        <v/>
      </c>
      <c r="C273" s="64" t="str">
        <f>IF(MINUTE(RawData!K272)=0,"",MINUTE(RawData!K272))</f>
        <v/>
      </c>
      <c r="D273" s="52" t="str">
        <f t="shared" si="8"/>
        <v/>
      </c>
      <c r="E273" s="53" t="str">
        <f t="shared" si="9"/>
        <v/>
      </c>
    </row>
    <row r="274" spans="1:5" ht="15.75" customHeight="1" x14ac:dyDescent="0.25">
      <c r="A274" s="60" t="str">
        <f>IF(RawData!C273="","",RawData!C273)</f>
        <v/>
      </c>
      <c r="B274" s="63" t="str">
        <f>IF(HOUR(RawData!K273)=0,"",HOUR(RawData!K273))</f>
        <v/>
      </c>
      <c r="C274" s="64" t="str">
        <f>IF(MINUTE(RawData!K273)=0,"",MINUTE(RawData!K273))</f>
        <v/>
      </c>
      <c r="D274" s="52" t="str">
        <f t="shared" si="8"/>
        <v/>
      </c>
      <c r="E274" s="53" t="str">
        <f t="shared" si="9"/>
        <v/>
      </c>
    </row>
    <row r="275" spans="1:5" ht="15.75" customHeight="1" x14ac:dyDescent="0.25">
      <c r="A275" s="60" t="str">
        <f>IF(RawData!C274="","",RawData!C274)</f>
        <v/>
      </c>
      <c r="B275" s="63" t="str">
        <f>IF(HOUR(RawData!K274)=0,"",HOUR(RawData!K274))</f>
        <v/>
      </c>
      <c r="C275" s="64" t="str">
        <f>IF(MINUTE(RawData!K274)=0,"",MINUTE(RawData!K274))</f>
        <v/>
      </c>
      <c r="D275" s="52" t="str">
        <f t="shared" si="8"/>
        <v/>
      </c>
      <c r="E275" s="53" t="str">
        <f t="shared" si="9"/>
        <v/>
      </c>
    </row>
    <row r="276" spans="1:5" ht="15.75" customHeight="1" x14ac:dyDescent="0.25">
      <c r="A276" s="60" t="str">
        <f>IF(RawData!C275="","",RawData!C275)</f>
        <v/>
      </c>
      <c r="B276" s="63" t="str">
        <f>IF(HOUR(RawData!K275)=0,"",HOUR(RawData!K275))</f>
        <v/>
      </c>
      <c r="C276" s="64" t="str">
        <f>IF(MINUTE(RawData!K275)=0,"",MINUTE(RawData!K275))</f>
        <v/>
      </c>
      <c r="D276" s="52" t="str">
        <f t="shared" si="8"/>
        <v/>
      </c>
      <c r="E276" s="53" t="str">
        <f t="shared" si="9"/>
        <v/>
      </c>
    </row>
    <row r="277" spans="1:5" ht="15.75" customHeight="1" x14ac:dyDescent="0.25">
      <c r="A277" s="60" t="str">
        <f>IF(RawData!C276="","",RawData!C276)</f>
        <v/>
      </c>
      <c r="B277" s="63" t="str">
        <f>IF(HOUR(RawData!K276)=0,"",HOUR(RawData!K276))</f>
        <v/>
      </c>
      <c r="C277" s="64" t="str">
        <f>IF(MINUTE(RawData!K276)=0,"",MINUTE(RawData!K276))</f>
        <v/>
      </c>
      <c r="D277" s="52" t="str">
        <f t="shared" si="8"/>
        <v/>
      </c>
      <c r="E277" s="53" t="str">
        <f t="shared" si="9"/>
        <v/>
      </c>
    </row>
    <row r="278" spans="1:5" ht="15.75" customHeight="1" x14ac:dyDescent="0.25">
      <c r="A278" s="60" t="str">
        <f>IF(RawData!C277="","",RawData!C277)</f>
        <v/>
      </c>
      <c r="B278" s="63" t="str">
        <f>IF(HOUR(RawData!K277)=0,"",HOUR(RawData!K277))</f>
        <v/>
      </c>
      <c r="C278" s="64" t="str">
        <f>IF(MINUTE(RawData!K277)=0,"",MINUTE(RawData!K277))</f>
        <v/>
      </c>
      <c r="D278" s="52" t="str">
        <f t="shared" si="8"/>
        <v/>
      </c>
      <c r="E278" s="53" t="str">
        <f t="shared" si="9"/>
        <v/>
      </c>
    </row>
    <row r="279" spans="1:5" ht="15.75" customHeight="1" x14ac:dyDescent="0.25">
      <c r="A279" s="60" t="str">
        <f>IF(RawData!C278="","",RawData!C278)</f>
        <v/>
      </c>
      <c r="B279" s="63" t="str">
        <f>IF(HOUR(RawData!K278)=0,"",HOUR(RawData!K278))</f>
        <v/>
      </c>
      <c r="C279" s="64" t="str">
        <f>IF(MINUTE(RawData!K278)=0,"",MINUTE(RawData!K278))</f>
        <v/>
      </c>
      <c r="D279" s="52" t="str">
        <f t="shared" si="8"/>
        <v/>
      </c>
      <c r="E279" s="53" t="str">
        <f t="shared" si="9"/>
        <v/>
      </c>
    </row>
    <row r="280" spans="1:5" ht="15.75" customHeight="1" x14ac:dyDescent="0.25">
      <c r="A280" s="60" t="str">
        <f>IF(RawData!C279="","",RawData!C279)</f>
        <v/>
      </c>
      <c r="B280" s="63" t="str">
        <f>IF(HOUR(RawData!K279)=0,"",HOUR(RawData!K279))</f>
        <v/>
      </c>
      <c r="C280" s="64" t="str">
        <f>IF(MINUTE(RawData!K279)=0,"",MINUTE(RawData!K279))</f>
        <v/>
      </c>
      <c r="D280" s="52" t="str">
        <f t="shared" si="8"/>
        <v/>
      </c>
      <c r="E280" s="53" t="str">
        <f t="shared" si="9"/>
        <v/>
      </c>
    </row>
    <row r="281" spans="1:5" ht="15.75" customHeight="1" x14ac:dyDescent="0.25">
      <c r="A281" s="60" t="str">
        <f>IF(RawData!C280="","",RawData!C280)</f>
        <v/>
      </c>
      <c r="B281" s="63" t="str">
        <f>IF(HOUR(RawData!K280)=0,"",HOUR(RawData!K280))</f>
        <v/>
      </c>
      <c r="C281" s="64" t="str">
        <f>IF(MINUTE(RawData!K280)=0,"",MINUTE(RawData!K280))</f>
        <v/>
      </c>
      <c r="D281" s="52" t="str">
        <f t="shared" si="8"/>
        <v/>
      </c>
      <c r="E281" s="53" t="str">
        <f t="shared" si="9"/>
        <v/>
      </c>
    </row>
    <row r="282" spans="1:5" ht="15.75" customHeight="1" x14ac:dyDescent="0.25">
      <c r="A282" s="60" t="str">
        <f>IF(RawData!C281="","",RawData!C281)</f>
        <v/>
      </c>
      <c r="B282" s="63" t="str">
        <f>IF(HOUR(RawData!K281)=0,"",HOUR(RawData!K281))</f>
        <v/>
      </c>
      <c r="C282" s="64" t="str">
        <f>IF(MINUTE(RawData!K281)=0,"",MINUTE(RawData!K281))</f>
        <v/>
      </c>
      <c r="D282" s="52" t="str">
        <f t="shared" si="8"/>
        <v/>
      </c>
      <c r="E282" s="53" t="str">
        <f t="shared" si="9"/>
        <v/>
      </c>
    </row>
    <row r="283" spans="1:5" ht="15.75" customHeight="1" x14ac:dyDescent="0.25">
      <c r="A283" s="60" t="str">
        <f>IF(RawData!C282="","",RawData!C282)</f>
        <v/>
      </c>
      <c r="B283" s="63" t="str">
        <f>IF(HOUR(RawData!K282)=0,"",HOUR(RawData!K282))</f>
        <v/>
      </c>
      <c r="C283" s="64" t="str">
        <f>IF(MINUTE(RawData!K282)=0,"",MINUTE(RawData!K282))</f>
        <v/>
      </c>
      <c r="D283" s="52" t="str">
        <f t="shared" si="8"/>
        <v/>
      </c>
      <c r="E283" s="53" t="str">
        <f t="shared" si="9"/>
        <v/>
      </c>
    </row>
    <row r="284" spans="1:5" ht="15.75" customHeight="1" x14ac:dyDescent="0.25">
      <c r="A284" s="60" t="str">
        <f>IF(RawData!C283="","",RawData!C283)</f>
        <v/>
      </c>
      <c r="B284" s="63" t="str">
        <f>IF(HOUR(RawData!K283)=0,"",HOUR(RawData!K283))</f>
        <v/>
      </c>
      <c r="C284" s="64" t="str">
        <f>IF(MINUTE(RawData!K283)=0,"",MINUTE(RawData!K283))</f>
        <v/>
      </c>
      <c r="D284" s="52" t="str">
        <f t="shared" si="8"/>
        <v/>
      </c>
      <c r="E284" s="53" t="str">
        <f t="shared" si="9"/>
        <v/>
      </c>
    </row>
    <row r="285" spans="1:5" ht="15.75" customHeight="1" x14ac:dyDescent="0.25">
      <c r="A285" s="60" t="str">
        <f>IF(RawData!C284="","",RawData!C284)</f>
        <v/>
      </c>
      <c r="B285" s="63" t="str">
        <f>IF(HOUR(RawData!K284)=0,"",HOUR(RawData!K284))</f>
        <v/>
      </c>
      <c r="C285" s="64" t="str">
        <f>IF(MINUTE(RawData!K284)=0,"",MINUTE(RawData!K284))</f>
        <v/>
      </c>
      <c r="D285" s="52" t="str">
        <f t="shared" si="8"/>
        <v/>
      </c>
      <c r="E285" s="53" t="str">
        <f t="shared" si="9"/>
        <v/>
      </c>
    </row>
    <row r="286" spans="1:5" ht="15.75" customHeight="1" x14ac:dyDescent="0.25">
      <c r="A286" s="60" t="str">
        <f>IF(RawData!C285="","",RawData!C285)</f>
        <v/>
      </c>
      <c r="B286" s="63" t="str">
        <f>IF(HOUR(RawData!K285)=0,"",HOUR(RawData!K285))</f>
        <v/>
      </c>
      <c r="C286" s="64" t="str">
        <f>IF(MINUTE(RawData!K285)=0,"",MINUTE(RawData!K285))</f>
        <v/>
      </c>
      <c r="D286" s="52" t="str">
        <f t="shared" si="8"/>
        <v/>
      </c>
      <c r="E286" s="53" t="str">
        <f t="shared" si="9"/>
        <v/>
      </c>
    </row>
    <row r="287" spans="1:5" ht="15.75" customHeight="1" x14ac:dyDescent="0.25">
      <c r="A287" s="60" t="str">
        <f>IF(RawData!C286="","",RawData!C286)</f>
        <v/>
      </c>
      <c r="B287" s="63" t="str">
        <f>IF(HOUR(RawData!K286)=0,"",HOUR(RawData!K286))</f>
        <v/>
      </c>
      <c r="C287" s="64" t="str">
        <f>IF(MINUTE(RawData!K286)=0,"",MINUTE(RawData!K286))</f>
        <v/>
      </c>
      <c r="D287" s="52" t="str">
        <f t="shared" si="8"/>
        <v/>
      </c>
      <c r="E287" s="53" t="str">
        <f t="shared" si="9"/>
        <v/>
      </c>
    </row>
    <row r="288" spans="1:5" ht="15.75" customHeight="1" x14ac:dyDescent="0.25">
      <c r="A288" s="60" t="str">
        <f>IF(RawData!C287="","",RawData!C287)</f>
        <v/>
      </c>
      <c r="B288" s="63" t="str">
        <f>IF(HOUR(RawData!K287)=0,"",HOUR(RawData!K287))</f>
        <v/>
      </c>
      <c r="C288" s="64" t="str">
        <f>IF(MINUTE(RawData!K287)=0,"",MINUTE(RawData!K287))</f>
        <v/>
      </c>
      <c r="D288" s="52" t="str">
        <f t="shared" si="8"/>
        <v/>
      </c>
      <c r="E288" s="53" t="str">
        <f t="shared" si="9"/>
        <v/>
      </c>
    </row>
    <row r="289" spans="1:5" ht="15.75" customHeight="1" x14ac:dyDescent="0.25">
      <c r="A289" s="60" t="str">
        <f>IF(RawData!C288="","",RawData!C288)</f>
        <v/>
      </c>
      <c r="B289" s="63" t="str">
        <f>IF(HOUR(RawData!K288)=0,"",HOUR(RawData!K288))</f>
        <v/>
      </c>
      <c r="C289" s="64" t="str">
        <f>IF(MINUTE(RawData!K288)=0,"",MINUTE(RawData!K288))</f>
        <v/>
      </c>
      <c r="D289" s="52" t="str">
        <f t="shared" si="8"/>
        <v/>
      </c>
      <c r="E289" s="53" t="str">
        <f t="shared" si="9"/>
        <v/>
      </c>
    </row>
    <row r="290" spans="1:5" ht="15.75" customHeight="1" x14ac:dyDescent="0.25">
      <c r="A290" s="60" t="str">
        <f>IF(RawData!C289="","",RawData!C289)</f>
        <v/>
      </c>
      <c r="B290" s="63" t="str">
        <f>IF(HOUR(RawData!K289)=0,"",HOUR(RawData!K289))</f>
        <v/>
      </c>
      <c r="C290" s="64" t="str">
        <f>IF(MINUTE(RawData!K289)=0,"",MINUTE(RawData!K289))</f>
        <v/>
      </c>
      <c r="D290" s="52" t="str">
        <f t="shared" si="8"/>
        <v/>
      </c>
      <c r="E290" s="53" t="str">
        <f t="shared" si="9"/>
        <v/>
      </c>
    </row>
    <row r="291" spans="1:5" ht="15.75" customHeight="1" x14ac:dyDescent="0.25">
      <c r="A291" s="60" t="str">
        <f>IF(RawData!C290="","",RawData!C290)</f>
        <v/>
      </c>
      <c r="B291" s="63" t="str">
        <f>IF(HOUR(RawData!K290)=0,"",HOUR(RawData!K290))</f>
        <v/>
      </c>
      <c r="C291" s="64" t="str">
        <f>IF(MINUTE(RawData!K290)=0,"",MINUTE(RawData!K290))</f>
        <v/>
      </c>
      <c r="D291" s="52" t="str">
        <f t="shared" si="8"/>
        <v/>
      </c>
      <c r="E291" s="53" t="str">
        <f t="shared" si="9"/>
        <v/>
      </c>
    </row>
    <row r="292" spans="1:5" ht="15.75" customHeight="1" x14ac:dyDescent="0.25">
      <c r="A292" s="60" t="str">
        <f>IF(RawData!C291="","",RawData!C291)</f>
        <v/>
      </c>
      <c r="B292" s="63" t="str">
        <f>IF(HOUR(RawData!K291)=0,"",HOUR(RawData!K291))</f>
        <v/>
      </c>
      <c r="C292" s="64" t="str">
        <f>IF(MINUTE(RawData!K291)=0,"",MINUTE(RawData!K291))</f>
        <v/>
      </c>
      <c r="D292" s="52" t="str">
        <f t="shared" si="8"/>
        <v/>
      </c>
      <c r="E292" s="53" t="str">
        <f t="shared" si="9"/>
        <v/>
      </c>
    </row>
    <row r="293" spans="1:5" ht="15.75" customHeight="1" x14ac:dyDescent="0.25">
      <c r="A293" s="60" t="str">
        <f>IF(RawData!C292="","",RawData!C292)</f>
        <v/>
      </c>
      <c r="B293" s="63" t="str">
        <f>IF(HOUR(RawData!K292)=0,"",HOUR(RawData!K292))</f>
        <v/>
      </c>
      <c r="C293" s="64" t="str">
        <f>IF(MINUTE(RawData!K292)=0,"",MINUTE(RawData!K292))</f>
        <v/>
      </c>
      <c r="D293" s="52" t="str">
        <f t="shared" si="8"/>
        <v/>
      </c>
      <c r="E293" s="53" t="str">
        <f t="shared" si="9"/>
        <v/>
      </c>
    </row>
    <row r="294" spans="1:5" ht="15.75" customHeight="1" x14ac:dyDescent="0.25">
      <c r="A294" s="60" t="str">
        <f>IF(RawData!C293="","",RawData!C293)</f>
        <v/>
      </c>
      <c r="B294" s="63" t="str">
        <f>IF(HOUR(RawData!K293)=0,"",HOUR(RawData!K293))</f>
        <v/>
      </c>
      <c r="C294" s="64" t="str">
        <f>IF(MINUTE(RawData!K293)=0,"",MINUTE(RawData!K293))</f>
        <v/>
      </c>
      <c r="D294" s="52" t="str">
        <f t="shared" si="8"/>
        <v/>
      </c>
      <c r="E294" s="53" t="str">
        <f t="shared" si="9"/>
        <v/>
      </c>
    </row>
    <row r="295" spans="1:5" ht="15.75" customHeight="1" x14ac:dyDescent="0.25">
      <c r="A295" s="60" t="str">
        <f>IF(RawData!C294="","",RawData!C294)</f>
        <v/>
      </c>
      <c r="B295" s="63" t="str">
        <f>IF(HOUR(RawData!K294)=0,"",HOUR(RawData!K294))</f>
        <v/>
      </c>
      <c r="C295" s="64" t="str">
        <f>IF(MINUTE(RawData!K294)=0,"",MINUTE(RawData!K294))</f>
        <v/>
      </c>
      <c r="D295" s="52" t="str">
        <f t="shared" si="8"/>
        <v/>
      </c>
      <c r="E295" s="53" t="str">
        <f t="shared" si="9"/>
        <v/>
      </c>
    </row>
    <row r="296" spans="1:5" ht="15.75" customHeight="1" x14ac:dyDescent="0.25">
      <c r="A296" s="60" t="str">
        <f>IF(RawData!C295="","",RawData!C295)</f>
        <v/>
      </c>
      <c r="B296" s="63" t="str">
        <f>IF(HOUR(RawData!K295)=0,"",HOUR(RawData!K295))</f>
        <v/>
      </c>
      <c r="C296" s="64" t="str">
        <f>IF(MINUTE(RawData!K295)=0,"",MINUTE(RawData!K295))</f>
        <v/>
      </c>
      <c r="D296" s="52" t="str">
        <f t="shared" si="8"/>
        <v/>
      </c>
      <c r="E296" s="53" t="str">
        <f t="shared" si="9"/>
        <v/>
      </c>
    </row>
    <row r="297" spans="1:5" ht="15.75" customHeight="1" x14ac:dyDescent="0.25">
      <c r="A297" s="60" t="str">
        <f>IF(RawData!C296="","",RawData!C296)</f>
        <v/>
      </c>
      <c r="B297" s="63" t="str">
        <f>IF(HOUR(RawData!K296)=0,"",HOUR(RawData!K296))</f>
        <v/>
      </c>
      <c r="C297" s="64" t="str">
        <f>IF(MINUTE(RawData!K296)=0,"",MINUTE(RawData!K296))</f>
        <v/>
      </c>
      <c r="D297" s="52" t="str">
        <f t="shared" si="8"/>
        <v/>
      </c>
      <c r="E297" s="53" t="str">
        <f t="shared" si="9"/>
        <v/>
      </c>
    </row>
    <row r="298" spans="1:5" ht="15.75" customHeight="1" x14ac:dyDescent="0.25">
      <c r="A298" s="60" t="str">
        <f>IF(RawData!C297="","",RawData!C297)</f>
        <v/>
      </c>
      <c r="B298" s="63" t="str">
        <f>IF(HOUR(RawData!K297)=0,"",HOUR(RawData!K297))</f>
        <v/>
      </c>
      <c r="C298" s="64" t="str">
        <f>IF(MINUTE(RawData!K297)=0,"",MINUTE(RawData!K297))</f>
        <v/>
      </c>
      <c r="D298" s="52" t="str">
        <f t="shared" si="8"/>
        <v/>
      </c>
      <c r="E298" s="53" t="str">
        <f t="shared" si="9"/>
        <v/>
      </c>
    </row>
    <row r="299" spans="1:5" ht="15.75" customHeight="1" x14ac:dyDescent="0.25">
      <c r="A299" s="60" t="str">
        <f>IF(RawData!C298="","",RawData!C298)</f>
        <v/>
      </c>
      <c r="B299" s="63" t="str">
        <f>IF(HOUR(RawData!K298)=0,"",HOUR(RawData!K298))</f>
        <v/>
      </c>
      <c r="C299" s="64" t="str">
        <f>IF(MINUTE(RawData!K298)=0,"",MINUTE(RawData!K298))</f>
        <v/>
      </c>
      <c r="D299" s="52" t="str">
        <f t="shared" si="8"/>
        <v/>
      </c>
      <c r="E299" s="53" t="str">
        <f t="shared" si="9"/>
        <v/>
      </c>
    </row>
    <row r="300" spans="1:5" ht="15.75" customHeight="1" x14ac:dyDescent="0.25">
      <c r="A300" s="60" t="str">
        <f>IF(RawData!C299="","",RawData!C299)</f>
        <v/>
      </c>
      <c r="B300" s="63" t="str">
        <f>IF(HOUR(RawData!K299)=0,"",HOUR(RawData!K299))</f>
        <v/>
      </c>
      <c r="C300" s="64" t="str">
        <f>IF(MINUTE(RawData!K299)=0,"",MINUTE(RawData!K299))</f>
        <v/>
      </c>
      <c r="D300" s="52" t="str">
        <f t="shared" si="8"/>
        <v/>
      </c>
      <c r="E300" s="53" t="str">
        <f t="shared" si="9"/>
        <v/>
      </c>
    </row>
    <row r="301" spans="1:5" ht="15.75" customHeight="1" x14ac:dyDescent="0.25">
      <c r="A301" s="60" t="str">
        <f>IF(RawData!C300="","",RawData!C300)</f>
        <v/>
      </c>
      <c r="B301" s="63" t="str">
        <f>IF(HOUR(RawData!K300)=0,"",HOUR(RawData!K300))</f>
        <v/>
      </c>
      <c r="C301" s="64" t="str">
        <f>IF(MINUTE(RawData!K300)=0,"",MINUTE(RawData!K300))</f>
        <v/>
      </c>
      <c r="D301" s="52" t="str">
        <f t="shared" si="8"/>
        <v/>
      </c>
      <c r="E301" s="53" t="str">
        <f t="shared" si="9"/>
        <v/>
      </c>
    </row>
    <row r="302" spans="1:5" ht="15.75" customHeight="1" x14ac:dyDescent="0.25">
      <c r="A302" s="60" t="str">
        <f>IF(RawData!C301="","",RawData!C301)</f>
        <v/>
      </c>
      <c r="B302" s="63" t="str">
        <f>IF(HOUR(RawData!K301)=0,"",HOUR(RawData!K301))</f>
        <v/>
      </c>
      <c r="C302" s="64" t="str">
        <f>IF(MINUTE(RawData!K301)=0,"",MINUTE(RawData!K301))</f>
        <v/>
      </c>
      <c r="D302" s="52" t="str">
        <f t="shared" si="8"/>
        <v/>
      </c>
      <c r="E302" s="53" t="str">
        <f t="shared" si="9"/>
        <v/>
      </c>
    </row>
    <row r="303" spans="1:5" ht="15.75" customHeight="1" x14ac:dyDescent="0.25">
      <c r="A303" s="60" t="str">
        <f>IF(RawData!C302="","",RawData!C302)</f>
        <v/>
      </c>
      <c r="B303" s="63" t="str">
        <f>IF(HOUR(RawData!K302)=0,"",HOUR(RawData!K302))</f>
        <v/>
      </c>
      <c r="C303" s="64" t="str">
        <f>IF(MINUTE(RawData!K302)=0,"",MINUTE(RawData!K302))</f>
        <v/>
      </c>
      <c r="D303" s="52" t="str">
        <f t="shared" si="8"/>
        <v/>
      </c>
      <c r="E303" s="53" t="str">
        <f t="shared" si="9"/>
        <v/>
      </c>
    </row>
    <row r="304" spans="1:5" ht="15.75" customHeight="1" x14ac:dyDescent="0.25">
      <c r="A304" s="60" t="str">
        <f>IF(RawData!C303="","",RawData!C303)</f>
        <v/>
      </c>
      <c r="B304" s="63" t="str">
        <f>IF(HOUR(RawData!K303)=0,"",HOUR(RawData!K303))</f>
        <v/>
      </c>
      <c r="C304" s="64" t="str">
        <f>IF(MINUTE(RawData!K303)=0,"",MINUTE(RawData!K303))</f>
        <v/>
      </c>
      <c r="D304" s="52" t="str">
        <f t="shared" si="8"/>
        <v/>
      </c>
      <c r="E304" s="53" t="str">
        <f t="shared" si="9"/>
        <v/>
      </c>
    </row>
    <row r="305" spans="1:5" ht="15.75" customHeight="1" x14ac:dyDescent="0.25">
      <c r="A305" s="60" t="str">
        <f>IF(RawData!C304="","",RawData!C304)</f>
        <v/>
      </c>
      <c r="B305" s="63" t="str">
        <f>IF(HOUR(RawData!K304)=0,"",HOUR(RawData!K304))</f>
        <v/>
      </c>
      <c r="C305" s="64" t="str">
        <f>IF(MINUTE(RawData!K304)=0,"",MINUTE(RawData!K304))</f>
        <v/>
      </c>
      <c r="D305" s="52" t="str">
        <f t="shared" si="8"/>
        <v/>
      </c>
      <c r="E305" s="53" t="str">
        <f t="shared" si="9"/>
        <v/>
      </c>
    </row>
    <row r="306" spans="1:5" ht="15.75" customHeight="1" x14ac:dyDescent="0.25">
      <c r="A306" s="60" t="str">
        <f>IF(RawData!C305="","",RawData!C305)</f>
        <v/>
      </c>
      <c r="B306" s="63" t="str">
        <f>IF(HOUR(RawData!K305)=0,"",HOUR(RawData!K305))</f>
        <v/>
      </c>
      <c r="C306" s="64" t="str">
        <f>IF(MINUTE(RawData!K305)=0,"",MINUTE(RawData!K305))</f>
        <v/>
      </c>
      <c r="D306" s="52" t="str">
        <f t="shared" si="8"/>
        <v/>
      </c>
      <c r="E306" s="53" t="str">
        <f t="shared" si="9"/>
        <v/>
      </c>
    </row>
    <row r="307" spans="1:5" ht="15.75" customHeight="1" x14ac:dyDescent="0.25">
      <c r="A307" s="60" t="str">
        <f>IF(RawData!C306="","",RawData!C306)</f>
        <v/>
      </c>
      <c r="B307" s="63" t="str">
        <f>IF(HOUR(RawData!K306)=0,"",HOUR(RawData!K306))</f>
        <v/>
      </c>
      <c r="C307" s="64" t="str">
        <f>IF(MINUTE(RawData!K306)=0,"",MINUTE(RawData!K306))</f>
        <v/>
      </c>
      <c r="D307" s="52" t="str">
        <f t="shared" si="8"/>
        <v/>
      </c>
      <c r="E307" s="53" t="str">
        <f t="shared" si="9"/>
        <v/>
      </c>
    </row>
    <row r="308" spans="1:5" ht="15.75" customHeight="1" x14ac:dyDescent="0.25">
      <c r="A308" s="60" t="str">
        <f>IF(RawData!C307="","",RawData!C307)</f>
        <v/>
      </c>
      <c r="B308" s="63" t="str">
        <f>IF(HOUR(RawData!K307)=0,"",HOUR(RawData!K307))</f>
        <v/>
      </c>
      <c r="C308" s="64" t="str">
        <f>IF(MINUTE(RawData!K307)=0,"",MINUTE(RawData!K307))</f>
        <v/>
      </c>
      <c r="D308" s="52" t="str">
        <f t="shared" si="8"/>
        <v/>
      </c>
      <c r="E308" s="53" t="str">
        <f t="shared" si="9"/>
        <v/>
      </c>
    </row>
    <row r="309" spans="1:5" ht="15.75" customHeight="1" x14ac:dyDescent="0.25">
      <c r="A309" s="60" t="str">
        <f>IF(RawData!C308="","",RawData!C308)</f>
        <v/>
      </c>
      <c r="B309" s="63" t="str">
        <f>IF(HOUR(RawData!K308)=0,"",HOUR(RawData!K308))</f>
        <v/>
      </c>
      <c r="C309" s="64" t="str">
        <f>IF(MINUTE(RawData!K308)=0,"",MINUTE(RawData!K308))</f>
        <v/>
      </c>
      <c r="D309" s="52" t="str">
        <f t="shared" si="8"/>
        <v/>
      </c>
      <c r="E309" s="53" t="str">
        <f t="shared" si="9"/>
        <v/>
      </c>
    </row>
    <row r="310" spans="1:5" ht="15.75" customHeight="1" x14ac:dyDescent="0.25">
      <c r="A310" s="60" t="str">
        <f>IF(RawData!C309="","",RawData!C309)</f>
        <v/>
      </c>
      <c r="B310" s="63" t="str">
        <f>IF(HOUR(RawData!K309)=0,"",HOUR(RawData!K309))</f>
        <v/>
      </c>
      <c r="C310" s="64" t="str">
        <f>IF(MINUTE(RawData!K309)=0,"",MINUTE(RawData!K309))</f>
        <v/>
      </c>
      <c r="D310" s="52" t="str">
        <f t="shared" si="8"/>
        <v/>
      </c>
      <c r="E310" s="53" t="str">
        <f t="shared" si="9"/>
        <v/>
      </c>
    </row>
    <row r="311" spans="1:5" ht="15.75" customHeight="1" x14ac:dyDescent="0.25">
      <c r="A311" s="60" t="str">
        <f>IF(RawData!C310="","",RawData!C310)</f>
        <v/>
      </c>
      <c r="B311" s="63" t="str">
        <f>IF(HOUR(RawData!K310)=0,"",HOUR(RawData!K310))</f>
        <v/>
      </c>
      <c r="C311" s="64" t="str">
        <f>IF(MINUTE(RawData!K310)=0,"",MINUTE(RawData!K310))</f>
        <v/>
      </c>
      <c r="D311" s="52" t="str">
        <f t="shared" si="8"/>
        <v/>
      </c>
      <c r="E311" s="53" t="str">
        <f t="shared" si="9"/>
        <v/>
      </c>
    </row>
    <row r="312" spans="1:5" ht="15.75" customHeight="1" x14ac:dyDescent="0.25">
      <c r="A312" s="60" t="str">
        <f>IF(RawData!C311="","",RawData!C311)</f>
        <v/>
      </c>
      <c r="B312" s="63" t="str">
        <f>IF(HOUR(RawData!K311)=0,"",HOUR(RawData!K311))</f>
        <v/>
      </c>
      <c r="C312" s="64" t="str">
        <f>IF(MINUTE(RawData!K311)=0,"",MINUTE(RawData!K311))</f>
        <v/>
      </c>
      <c r="D312" s="52" t="str">
        <f t="shared" si="8"/>
        <v/>
      </c>
      <c r="E312" s="53" t="str">
        <f t="shared" si="9"/>
        <v/>
      </c>
    </row>
    <row r="313" spans="1:5" ht="15.75" customHeight="1" x14ac:dyDescent="0.25">
      <c r="A313" s="60" t="str">
        <f>IF(RawData!C312="","",RawData!C312)</f>
        <v/>
      </c>
      <c r="B313" s="63" t="str">
        <f>IF(HOUR(RawData!K312)=0,"",HOUR(RawData!K312))</f>
        <v/>
      </c>
      <c r="C313" s="64" t="str">
        <f>IF(MINUTE(RawData!K312)=0,"",MINUTE(RawData!K312))</f>
        <v/>
      </c>
      <c r="D313" s="52" t="str">
        <f t="shared" si="8"/>
        <v/>
      </c>
      <c r="E313" s="53" t="str">
        <f t="shared" si="9"/>
        <v/>
      </c>
    </row>
    <row r="314" spans="1:5" ht="15.75" customHeight="1" x14ac:dyDescent="0.25">
      <c r="A314" s="60" t="str">
        <f>IF(RawData!C313="","",RawData!C313)</f>
        <v/>
      </c>
      <c r="B314" s="63" t="str">
        <f>IF(HOUR(RawData!K313)=0,"",HOUR(RawData!K313))</f>
        <v/>
      </c>
      <c r="C314" s="64" t="str">
        <f>IF(MINUTE(RawData!K313)=0,"",MINUTE(RawData!K313))</f>
        <v/>
      </c>
      <c r="D314" s="52" t="str">
        <f t="shared" si="8"/>
        <v/>
      </c>
      <c r="E314" s="53" t="str">
        <f t="shared" si="9"/>
        <v/>
      </c>
    </row>
    <row r="315" spans="1:5" ht="15.75" customHeight="1" x14ac:dyDescent="0.25">
      <c r="A315" s="60" t="str">
        <f>IF(RawData!C314="","",RawData!C314)</f>
        <v/>
      </c>
      <c r="B315" s="63" t="str">
        <f>IF(HOUR(RawData!K314)=0,"",HOUR(RawData!K314))</f>
        <v/>
      </c>
      <c r="C315" s="64" t="str">
        <f>IF(MINUTE(RawData!K314)=0,"",MINUTE(RawData!K314))</f>
        <v/>
      </c>
      <c r="D315" s="52" t="str">
        <f t="shared" si="8"/>
        <v/>
      </c>
      <c r="E315" s="53" t="str">
        <f t="shared" si="9"/>
        <v/>
      </c>
    </row>
    <row r="316" spans="1:5" ht="15.75" customHeight="1" x14ac:dyDescent="0.25">
      <c r="A316" s="60" t="str">
        <f>IF(RawData!C315="","",RawData!C315)</f>
        <v/>
      </c>
      <c r="B316" s="63" t="str">
        <f>IF(HOUR(RawData!K315)=0,"",HOUR(RawData!K315))</f>
        <v/>
      </c>
      <c r="C316" s="64" t="str">
        <f>IF(MINUTE(RawData!K315)=0,"",MINUTE(RawData!K315))</f>
        <v/>
      </c>
      <c r="D316" s="52" t="str">
        <f t="shared" si="8"/>
        <v/>
      </c>
      <c r="E316" s="53" t="str">
        <f t="shared" si="9"/>
        <v/>
      </c>
    </row>
    <row r="317" spans="1:5" ht="15.75" customHeight="1" x14ac:dyDescent="0.25">
      <c r="A317" s="60" t="str">
        <f>IF(RawData!C316="","",RawData!C316)</f>
        <v/>
      </c>
      <c r="B317" s="63" t="str">
        <f>IF(HOUR(RawData!K316)=0,"",HOUR(RawData!K316))</f>
        <v/>
      </c>
      <c r="C317" s="64" t="str">
        <f>IF(MINUTE(RawData!K316)=0,"",MINUTE(RawData!K316))</f>
        <v/>
      </c>
      <c r="D317" s="52" t="str">
        <f t="shared" si="8"/>
        <v/>
      </c>
      <c r="E317" s="53" t="str">
        <f t="shared" si="9"/>
        <v/>
      </c>
    </row>
    <row r="318" spans="1:5" ht="15.75" customHeight="1" x14ac:dyDescent="0.25">
      <c r="A318" s="60" t="str">
        <f>IF(RawData!C317="","",RawData!C317)</f>
        <v/>
      </c>
      <c r="B318" s="63" t="str">
        <f>IF(HOUR(RawData!K317)=0,"",HOUR(RawData!K317))</f>
        <v/>
      </c>
      <c r="C318" s="64" t="str">
        <f>IF(MINUTE(RawData!K317)=0,"",MINUTE(RawData!K317))</f>
        <v/>
      </c>
      <c r="D318" s="52" t="str">
        <f t="shared" si="8"/>
        <v/>
      </c>
      <c r="E318" s="53" t="str">
        <f t="shared" si="9"/>
        <v/>
      </c>
    </row>
    <row r="319" spans="1:5" ht="15.75" customHeight="1" x14ac:dyDescent="0.25">
      <c r="A319" s="60" t="str">
        <f>IF(RawData!C318="","",RawData!C318)</f>
        <v/>
      </c>
      <c r="B319" s="63" t="str">
        <f>IF(HOUR(RawData!K318)=0,"",HOUR(RawData!K318))</f>
        <v/>
      </c>
      <c r="C319" s="64" t="str">
        <f>IF(MINUTE(RawData!K318)=0,"",MINUTE(RawData!K318))</f>
        <v/>
      </c>
      <c r="D319" s="52" t="str">
        <f t="shared" si="8"/>
        <v/>
      </c>
      <c r="E319" s="53" t="str">
        <f t="shared" si="9"/>
        <v/>
      </c>
    </row>
    <row r="320" spans="1:5" ht="15.75" customHeight="1" x14ac:dyDescent="0.25">
      <c r="A320" s="60" t="str">
        <f>IF(RawData!C319="","",RawData!C319)</f>
        <v/>
      </c>
      <c r="B320" s="63" t="str">
        <f>IF(HOUR(RawData!K319)=0,"",HOUR(RawData!K319))</f>
        <v/>
      </c>
      <c r="C320" s="64" t="str">
        <f>IF(MINUTE(RawData!K319)=0,"",MINUTE(RawData!K319))</f>
        <v/>
      </c>
      <c r="D320" s="52" t="str">
        <f t="shared" si="8"/>
        <v/>
      </c>
      <c r="E320" s="53" t="str">
        <f t="shared" si="9"/>
        <v/>
      </c>
    </row>
    <row r="321" spans="1:5" ht="15.75" customHeight="1" x14ac:dyDescent="0.25">
      <c r="A321" s="60" t="str">
        <f>IF(RawData!C320="","",RawData!C320)</f>
        <v/>
      </c>
      <c r="B321" s="63" t="str">
        <f>IF(HOUR(RawData!K320)=0,"",HOUR(RawData!K320))</f>
        <v/>
      </c>
      <c r="C321" s="64" t="str">
        <f>IF(MINUTE(RawData!K320)=0,"",MINUTE(RawData!K320))</f>
        <v/>
      </c>
      <c r="D321" s="52" t="str">
        <f t="shared" si="8"/>
        <v/>
      </c>
      <c r="E321" s="53" t="str">
        <f t="shared" si="9"/>
        <v/>
      </c>
    </row>
    <row r="322" spans="1:5" ht="15.75" customHeight="1" x14ac:dyDescent="0.25">
      <c r="A322" s="60" t="str">
        <f>IF(RawData!C321="","",RawData!C321)</f>
        <v/>
      </c>
      <c r="B322" s="63" t="str">
        <f>IF(HOUR(RawData!K321)=0,"",HOUR(RawData!K321))</f>
        <v/>
      </c>
      <c r="C322" s="64" t="str">
        <f>IF(MINUTE(RawData!K321)=0,"",MINUTE(RawData!K321))</f>
        <v/>
      </c>
      <c r="D322" s="52" t="str">
        <f t="shared" si="8"/>
        <v/>
      </c>
      <c r="E322" s="53" t="str">
        <f t="shared" si="9"/>
        <v/>
      </c>
    </row>
    <row r="323" spans="1:5" ht="15.75" customHeight="1" x14ac:dyDescent="0.25">
      <c r="A323" s="60" t="str">
        <f>IF(RawData!C322="","",RawData!C322)</f>
        <v/>
      </c>
      <c r="B323" s="63" t="str">
        <f>IF(HOUR(RawData!K322)=0,"",HOUR(RawData!K322))</f>
        <v/>
      </c>
      <c r="C323" s="64" t="str">
        <f>IF(MINUTE(RawData!K322)=0,"",MINUTE(RawData!K322))</f>
        <v/>
      </c>
      <c r="D323" s="52" t="str">
        <f t="shared" si="8"/>
        <v/>
      </c>
      <c r="E323" s="53" t="str">
        <f t="shared" si="9"/>
        <v/>
      </c>
    </row>
    <row r="324" spans="1:5" ht="15.75" customHeight="1" x14ac:dyDescent="0.25">
      <c r="A324" s="60" t="str">
        <f>IF(RawData!C323="","",RawData!C323)</f>
        <v/>
      </c>
      <c r="B324" s="63" t="str">
        <f>IF(HOUR(RawData!K323)=0,"",HOUR(RawData!K323))</f>
        <v/>
      </c>
      <c r="C324" s="64" t="str">
        <f>IF(MINUTE(RawData!K323)=0,"",MINUTE(RawData!K323))</f>
        <v/>
      </c>
      <c r="D324" s="52" t="str">
        <f t="shared" ref="D324:D366" si="10">IF(OR(CONCATENATE(B324,C324)="",CONCATENATE(B324,C324)="00")=TRUE,"",9)</f>
        <v/>
      </c>
      <c r="E324" s="53" t="str">
        <f t="shared" ref="E324:E366" si="11">IF(OR(CONCATENATE(B324,C324)="",CONCATENATE(B324,C324)="00")=TRUE,"",15)</f>
        <v/>
      </c>
    </row>
    <row r="325" spans="1:5" ht="15.75" customHeight="1" x14ac:dyDescent="0.25">
      <c r="A325" s="60" t="str">
        <f>IF(RawData!C324="","",RawData!C324)</f>
        <v/>
      </c>
      <c r="B325" s="63" t="str">
        <f>IF(HOUR(RawData!K324)=0,"",HOUR(RawData!K324))</f>
        <v/>
      </c>
      <c r="C325" s="64" t="str">
        <f>IF(MINUTE(RawData!K324)=0,"",MINUTE(RawData!K324))</f>
        <v/>
      </c>
      <c r="D325" s="52" t="str">
        <f t="shared" si="10"/>
        <v/>
      </c>
      <c r="E325" s="53" t="str">
        <f t="shared" si="11"/>
        <v/>
      </c>
    </row>
    <row r="326" spans="1:5" ht="15.75" customHeight="1" x14ac:dyDescent="0.25">
      <c r="A326" s="60" t="str">
        <f>IF(RawData!C325="","",RawData!C325)</f>
        <v/>
      </c>
      <c r="B326" s="63" t="str">
        <f>IF(HOUR(RawData!K325)=0,"",HOUR(RawData!K325))</f>
        <v/>
      </c>
      <c r="C326" s="64" t="str">
        <f>IF(MINUTE(RawData!K325)=0,"",MINUTE(RawData!K325))</f>
        <v/>
      </c>
      <c r="D326" s="52" t="str">
        <f t="shared" si="10"/>
        <v/>
      </c>
      <c r="E326" s="53" t="str">
        <f t="shared" si="11"/>
        <v/>
      </c>
    </row>
    <row r="327" spans="1:5" ht="15.75" customHeight="1" x14ac:dyDescent="0.25">
      <c r="A327" s="60" t="str">
        <f>IF(RawData!C326="","",RawData!C326)</f>
        <v/>
      </c>
      <c r="B327" s="63" t="str">
        <f>IF(HOUR(RawData!K326)=0,"",HOUR(RawData!K326))</f>
        <v/>
      </c>
      <c r="C327" s="64" t="str">
        <f>IF(MINUTE(RawData!K326)=0,"",MINUTE(RawData!K326))</f>
        <v/>
      </c>
      <c r="D327" s="52" t="str">
        <f t="shared" si="10"/>
        <v/>
      </c>
      <c r="E327" s="53" t="str">
        <f t="shared" si="11"/>
        <v/>
      </c>
    </row>
    <row r="328" spans="1:5" ht="15.75" customHeight="1" x14ac:dyDescent="0.25">
      <c r="A328" s="60" t="str">
        <f>IF(RawData!C327="","",RawData!C327)</f>
        <v/>
      </c>
      <c r="B328" s="63" t="str">
        <f>IF(HOUR(RawData!K327)=0,"",HOUR(RawData!K327))</f>
        <v/>
      </c>
      <c r="C328" s="64" t="str">
        <f>IF(MINUTE(RawData!K327)=0,"",MINUTE(RawData!K327))</f>
        <v/>
      </c>
      <c r="D328" s="52" t="str">
        <f t="shared" si="10"/>
        <v/>
      </c>
      <c r="E328" s="53" t="str">
        <f t="shared" si="11"/>
        <v/>
      </c>
    </row>
    <row r="329" spans="1:5" ht="15.75" customHeight="1" x14ac:dyDescent="0.25">
      <c r="A329" s="60" t="str">
        <f>IF(RawData!C328="","",RawData!C328)</f>
        <v/>
      </c>
      <c r="B329" s="63" t="str">
        <f>IF(HOUR(RawData!K328)=0,"",HOUR(RawData!K328))</f>
        <v/>
      </c>
      <c r="C329" s="64" t="str">
        <f>IF(MINUTE(RawData!K328)=0,"",MINUTE(RawData!K328))</f>
        <v/>
      </c>
      <c r="D329" s="52" t="str">
        <f t="shared" si="10"/>
        <v/>
      </c>
      <c r="E329" s="53" t="str">
        <f t="shared" si="11"/>
        <v/>
      </c>
    </row>
    <row r="330" spans="1:5" ht="15.75" customHeight="1" x14ac:dyDescent="0.25">
      <c r="A330" s="60" t="str">
        <f>IF(RawData!C329="","",RawData!C329)</f>
        <v/>
      </c>
      <c r="B330" s="63" t="str">
        <f>IF(HOUR(RawData!K329)=0,"",HOUR(RawData!K329))</f>
        <v/>
      </c>
      <c r="C330" s="64" t="str">
        <f>IF(MINUTE(RawData!K329)=0,"",MINUTE(RawData!K329))</f>
        <v/>
      </c>
      <c r="D330" s="52" t="str">
        <f t="shared" si="10"/>
        <v/>
      </c>
      <c r="E330" s="53" t="str">
        <f t="shared" si="11"/>
        <v/>
      </c>
    </row>
    <row r="331" spans="1:5" ht="15.75" customHeight="1" x14ac:dyDescent="0.25">
      <c r="A331" s="60" t="str">
        <f>IF(RawData!C330="","",RawData!C330)</f>
        <v/>
      </c>
      <c r="B331" s="63" t="str">
        <f>IF(HOUR(RawData!K330)=0,"",HOUR(RawData!K330))</f>
        <v/>
      </c>
      <c r="C331" s="64" t="str">
        <f>IF(MINUTE(RawData!K330)=0,"",MINUTE(RawData!K330))</f>
        <v/>
      </c>
      <c r="D331" s="52" t="str">
        <f t="shared" si="10"/>
        <v/>
      </c>
      <c r="E331" s="53" t="str">
        <f t="shared" si="11"/>
        <v/>
      </c>
    </row>
    <row r="332" spans="1:5" ht="15.75" customHeight="1" x14ac:dyDescent="0.25">
      <c r="A332" s="60" t="str">
        <f>IF(RawData!C331="","",RawData!C331)</f>
        <v/>
      </c>
      <c r="B332" s="63" t="str">
        <f>IF(HOUR(RawData!K331)=0,"",HOUR(RawData!K331))</f>
        <v/>
      </c>
      <c r="C332" s="64" t="str">
        <f>IF(MINUTE(RawData!K331)=0,"",MINUTE(RawData!K331))</f>
        <v/>
      </c>
      <c r="D332" s="52" t="str">
        <f t="shared" si="10"/>
        <v/>
      </c>
      <c r="E332" s="53" t="str">
        <f t="shared" si="11"/>
        <v/>
      </c>
    </row>
    <row r="333" spans="1:5" ht="15.75" customHeight="1" x14ac:dyDescent="0.25">
      <c r="A333" s="60" t="str">
        <f>IF(RawData!C332="","",RawData!C332)</f>
        <v/>
      </c>
      <c r="B333" s="63" t="str">
        <f>IF(HOUR(RawData!K332)=0,"",HOUR(RawData!K332))</f>
        <v/>
      </c>
      <c r="C333" s="64" t="str">
        <f>IF(MINUTE(RawData!K332)=0,"",MINUTE(RawData!K332))</f>
        <v/>
      </c>
      <c r="D333" s="52" t="str">
        <f t="shared" si="10"/>
        <v/>
      </c>
      <c r="E333" s="53" t="str">
        <f t="shared" si="11"/>
        <v/>
      </c>
    </row>
    <row r="334" spans="1:5" ht="15.75" customHeight="1" x14ac:dyDescent="0.25">
      <c r="A334" s="60" t="str">
        <f>IF(RawData!C333="","",RawData!C333)</f>
        <v/>
      </c>
      <c r="B334" s="63" t="str">
        <f>IF(HOUR(RawData!K333)=0,"",HOUR(RawData!K333))</f>
        <v/>
      </c>
      <c r="C334" s="64" t="str">
        <f>IF(MINUTE(RawData!K333)=0,"",MINUTE(RawData!K333))</f>
        <v/>
      </c>
      <c r="D334" s="52" t="str">
        <f t="shared" si="10"/>
        <v/>
      </c>
      <c r="E334" s="53" t="str">
        <f t="shared" si="11"/>
        <v/>
      </c>
    </row>
    <row r="335" spans="1:5" ht="15.75" customHeight="1" x14ac:dyDescent="0.25">
      <c r="A335" s="60" t="str">
        <f>IF(RawData!C334="","",RawData!C334)</f>
        <v/>
      </c>
      <c r="B335" s="63" t="str">
        <f>IF(HOUR(RawData!K334)=0,"",HOUR(RawData!K334))</f>
        <v/>
      </c>
      <c r="C335" s="64" t="str">
        <f>IF(MINUTE(RawData!K334)=0,"",MINUTE(RawData!K334))</f>
        <v/>
      </c>
      <c r="D335" s="52" t="str">
        <f t="shared" si="10"/>
        <v/>
      </c>
      <c r="E335" s="53" t="str">
        <f t="shared" si="11"/>
        <v/>
      </c>
    </row>
    <row r="336" spans="1:5" ht="15.75" customHeight="1" x14ac:dyDescent="0.25">
      <c r="A336" s="60" t="str">
        <f>IF(RawData!C335="","",RawData!C335)</f>
        <v/>
      </c>
      <c r="B336" s="63" t="str">
        <f>IF(HOUR(RawData!K335)=0,"",HOUR(RawData!K335))</f>
        <v/>
      </c>
      <c r="C336" s="64" t="str">
        <f>IF(MINUTE(RawData!K335)=0,"",MINUTE(RawData!K335))</f>
        <v/>
      </c>
      <c r="D336" s="52" t="str">
        <f t="shared" si="10"/>
        <v/>
      </c>
      <c r="E336" s="53" t="str">
        <f t="shared" si="11"/>
        <v/>
      </c>
    </row>
    <row r="337" spans="1:5" ht="15.75" customHeight="1" x14ac:dyDescent="0.25">
      <c r="A337" s="60" t="str">
        <f>IF(RawData!C336="","",RawData!C336)</f>
        <v/>
      </c>
      <c r="B337" s="63" t="str">
        <f>IF(HOUR(RawData!K336)=0,"",HOUR(RawData!K336))</f>
        <v/>
      </c>
      <c r="C337" s="64" t="str">
        <f>IF(MINUTE(RawData!K336)=0,"",MINUTE(RawData!K336))</f>
        <v/>
      </c>
      <c r="D337" s="52" t="str">
        <f t="shared" si="10"/>
        <v/>
      </c>
      <c r="E337" s="53" t="str">
        <f t="shared" si="11"/>
        <v/>
      </c>
    </row>
    <row r="338" spans="1:5" ht="15.75" customHeight="1" x14ac:dyDescent="0.25">
      <c r="A338" s="60" t="str">
        <f>IF(RawData!C337="","",RawData!C337)</f>
        <v/>
      </c>
      <c r="B338" s="63" t="str">
        <f>IF(HOUR(RawData!K337)=0,"",HOUR(RawData!K337))</f>
        <v/>
      </c>
      <c r="C338" s="64" t="str">
        <f>IF(MINUTE(RawData!K337)=0,"",MINUTE(RawData!K337))</f>
        <v/>
      </c>
      <c r="D338" s="52" t="str">
        <f t="shared" si="10"/>
        <v/>
      </c>
      <c r="E338" s="53" t="str">
        <f t="shared" si="11"/>
        <v/>
      </c>
    </row>
    <row r="339" spans="1:5" ht="15.75" customHeight="1" x14ac:dyDescent="0.25">
      <c r="A339" s="60" t="str">
        <f>IF(RawData!C338="","",RawData!C338)</f>
        <v/>
      </c>
      <c r="B339" s="63" t="str">
        <f>IF(HOUR(RawData!K338)=0,"",HOUR(RawData!K338))</f>
        <v/>
      </c>
      <c r="C339" s="64" t="str">
        <f>IF(MINUTE(RawData!K338)=0,"",MINUTE(RawData!K338))</f>
        <v/>
      </c>
      <c r="D339" s="52" t="str">
        <f t="shared" si="10"/>
        <v/>
      </c>
      <c r="E339" s="53" t="str">
        <f t="shared" si="11"/>
        <v/>
      </c>
    </row>
    <row r="340" spans="1:5" ht="15.75" customHeight="1" x14ac:dyDescent="0.25">
      <c r="A340" s="60" t="str">
        <f>IF(RawData!C339="","",RawData!C339)</f>
        <v/>
      </c>
      <c r="B340" s="63" t="str">
        <f>IF(HOUR(RawData!K339)=0,"",HOUR(RawData!K339))</f>
        <v/>
      </c>
      <c r="C340" s="64" t="str">
        <f>IF(MINUTE(RawData!K339)=0,"",MINUTE(RawData!K339))</f>
        <v/>
      </c>
      <c r="D340" s="52" t="str">
        <f t="shared" si="10"/>
        <v/>
      </c>
      <c r="E340" s="53" t="str">
        <f t="shared" si="11"/>
        <v/>
      </c>
    </row>
    <row r="341" spans="1:5" ht="15.75" customHeight="1" x14ac:dyDescent="0.25">
      <c r="A341" s="60" t="str">
        <f>IF(RawData!C340="","",RawData!C340)</f>
        <v/>
      </c>
      <c r="B341" s="63" t="str">
        <f>IF(HOUR(RawData!K340)=0,"",HOUR(RawData!K340))</f>
        <v/>
      </c>
      <c r="C341" s="64" t="str">
        <f>IF(MINUTE(RawData!K340)=0,"",MINUTE(RawData!K340))</f>
        <v/>
      </c>
      <c r="D341" s="52" t="str">
        <f t="shared" si="10"/>
        <v/>
      </c>
      <c r="E341" s="53" t="str">
        <f t="shared" si="11"/>
        <v/>
      </c>
    </row>
    <row r="342" spans="1:5" ht="15.75" customHeight="1" x14ac:dyDescent="0.25">
      <c r="A342" s="60" t="str">
        <f>IF(RawData!C341="","",RawData!C341)</f>
        <v/>
      </c>
      <c r="B342" s="63" t="str">
        <f>IF(HOUR(RawData!K341)=0,"",HOUR(RawData!K341))</f>
        <v/>
      </c>
      <c r="C342" s="64" t="str">
        <f>IF(MINUTE(RawData!K341)=0,"",MINUTE(RawData!K341))</f>
        <v/>
      </c>
      <c r="D342" s="52" t="str">
        <f t="shared" si="10"/>
        <v/>
      </c>
      <c r="E342" s="53" t="str">
        <f t="shared" si="11"/>
        <v/>
      </c>
    </row>
    <row r="343" spans="1:5" ht="15.75" customHeight="1" x14ac:dyDescent="0.25">
      <c r="A343" s="60" t="str">
        <f>IF(RawData!C342="","",RawData!C342)</f>
        <v/>
      </c>
      <c r="B343" s="63" t="str">
        <f>IF(HOUR(RawData!K342)=0,"",HOUR(RawData!K342))</f>
        <v/>
      </c>
      <c r="C343" s="64" t="str">
        <f>IF(MINUTE(RawData!K342)=0,"",MINUTE(RawData!K342))</f>
        <v/>
      </c>
      <c r="D343" s="52" t="str">
        <f t="shared" si="10"/>
        <v/>
      </c>
      <c r="E343" s="53" t="str">
        <f t="shared" si="11"/>
        <v/>
      </c>
    </row>
    <row r="344" spans="1:5" ht="15.75" customHeight="1" x14ac:dyDescent="0.25">
      <c r="A344" s="60" t="str">
        <f>IF(RawData!C343="","",RawData!C343)</f>
        <v/>
      </c>
      <c r="B344" s="63" t="str">
        <f>IF(HOUR(RawData!K343)=0,"",HOUR(RawData!K343))</f>
        <v/>
      </c>
      <c r="C344" s="64" t="str">
        <f>IF(MINUTE(RawData!K343)=0,"",MINUTE(RawData!K343))</f>
        <v/>
      </c>
      <c r="D344" s="52" t="str">
        <f t="shared" si="10"/>
        <v/>
      </c>
      <c r="E344" s="53" t="str">
        <f t="shared" si="11"/>
        <v/>
      </c>
    </row>
    <row r="345" spans="1:5" ht="15.75" customHeight="1" x14ac:dyDescent="0.25">
      <c r="A345" s="60" t="str">
        <f>IF(RawData!C344="","",RawData!C344)</f>
        <v/>
      </c>
      <c r="B345" s="63" t="str">
        <f>IF(HOUR(RawData!K344)=0,"",HOUR(RawData!K344))</f>
        <v/>
      </c>
      <c r="C345" s="64" t="str">
        <f>IF(MINUTE(RawData!K344)=0,"",MINUTE(RawData!K344))</f>
        <v/>
      </c>
      <c r="D345" s="52" t="str">
        <f t="shared" si="10"/>
        <v/>
      </c>
      <c r="E345" s="53" t="str">
        <f t="shared" si="11"/>
        <v/>
      </c>
    </row>
    <row r="346" spans="1:5" ht="15.75" customHeight="1" x14ac:dyDescent="0.25">
      <c r="A346" s="60" t="str">
        <f>IF(RawData!C345="","",RawData!C345)</f>
        <v/>
      </c>
      <c r="B346" s="63" t="str">
        <f>IF(HOUR(RawData!K345)=0,"",HOUR(RawData!K345))</f>
        <v/>
      </c>
      <c r="C346" s="64" t="str">
        <f>IF(MINUTE(RawData!K345)=0,"",MINUTE(RawData!K345))</f>
        <v/>
      </c>
      <c r="D346" s="52" t="str">
        <f t="shared" si="10"/>
        <v/>
      </c>
      <c r="E346" s="53" t="str">
        <f t="shared" si="11"/>
        <v/>
      </c>
    </row>
    <row r="347" spans="1:5" ht="15.75" customHeight="1" x14ac:dyDescent="0.25">
      <c r="A347" s="60" t="str">
        <f>IF(RawData!C346="","",RawData!C346)</f>
        <v/>
      </c>
      <c r="B347" s="63" t="str">
        <f>IF(HOUR(RawData!K346)=0,"",HOUR(RawData!K346))</f>
        <v/>
      </c>
      <c r="C347" s="64" t="str">
        <f>IF(MINUTE(RawData!K346)=0,"",MINUTE(RawData!K346))</f>
        <v/>
      </c>
      <c r="D347" s="52" t="str">
        <f t="shared" si="10"/>
        <v/>
      </c>
      <c r="E347" s="53" t="str">
        <f t="shared" si="11"/>
        <v/>
      </c>
    </row>
    <row r="348" spans="1:5" ht="15.75" customHeight="1" x14ac:dyDescent="0.25">
      <c r="A348" s="60" t="str">
        <f>IF(RawData!C347="","",RawData!C347)</f>
        <v/>
      </c>
      <c r="B348" s="63" t="str">
        <f>IF(HOUR(RawData!K347)=0,"",HOUR(RawData!K347))</f>
        <v/>
      </c>
      <c r="C348" s="64" t="str">
        <f>IF(MINUTE(RawData!K347)=0,"",MINUTE(RawData!K347))</f>
        <v/>
      </c>
      <c r="D348" s="52" t="str">
        <f t="shared" si="10"/>
        <v/>
      </c>
      <c r="E348" s="53" t="str">
        <f t="shared" si="11"/>
        <v/>
      </c>
    </row>
    <row r="349" spans="1:5" ht="15.75" customHeight="1" x14ac:dyDescent="0.25">
      <c r="A349" s="60" t="str">
        <f>IF(RawData!C348="","",RawData!C348)</f>
        <v/>
      </c>
      <c r="B349" s="63" t="str">
        <f>IF(HOUR(RawData!K348)=0,"",HOUR(RawData!K348))</f>
        <v/>
      </c>
      <c r="C349" s="64" t="str">
        <f>IF(MINUTE(RawData!K348)=0,"",MINUTE(RawData!K348))</f>
        <v/>
      </c>
      <c r="D349" s="52" t="str">
        <f t="shared" si="10"/>
        <v/>
      </c>
      <c r="E349" s="53" t="str">
        <f t="shared" si="11"/>
        <v/>
      </c>
    </row>
    <row r="350" spans="1:5" ht="15.75" customHeight="1" x14ac:dyDescent="0.25">
      <c r="A350" s="60" t="str">
        <f>IF(RawData!C349="","",RawData!C349)</f>
        <v/>
      </c>
      <c r="B350" s="63" t="str">
        <f>IF(HOUR(RawData!K349)=0,"",HOUR(RawData!K349))</f>
        <v/>
      </c>
      <c r="C350" s="64" t="str">
        <f>IF(MINUTE(RawData!K349)=0,"",MINUTE(RawData!K349))</f>
        <v/>
      </c>
      <c r="D350" s="52" t="str">
        <f t="shared" si="10"/>
        <v/>
      </c>
      <c r="E350" s="53" t="str">
        <f t="shared" si="11"/>
        <v/>
      </c>
    </row>
    <row r="351" spans="1:5" ht="15.75" customHeight="1" x14ac:dyDescent="0.25">
      <c r="A351" s="60" t="str">
        <f>IF(RawData!C350="","",RawData!C350)</f>
        <v/>
      </c>
      <c r="B351" s="63" t="str">
        <f>IF(HOUR(RawData!K350)=0,"",HOUR(RawData!K350))</f>
        <v/>
      </c>
      <c r="C351" s="64" t="str">
        <f>IF(MINUTE(RawData!K350)=0,"",MINUTE(RawData!K350))</f>
        <v/>
      </c>
      <c r="D351" s="52" t="str">
        <f t="shared" si="10"/>
        <v/>
      </c>
      <c r="E351" s="53" t="str">
        <f t="shared" si="11"/>
        <v/>
      </c>
    </row>
    <row r="352" spans="1:5" ht="15.75" customHeight="1" x14ac:dyDescent="0.25">
      <c r="A352" s="60" t="str">
        <f>IF(RawData!C351="","",RawData!C351)</f>
        <v/>
      </c>
      <c r="B352" s="63" t="str">
        <f>IF(HOUR(RawData!K351)=0,"",HOUR(RawData!K351))</f>
        <v/>
      </c>
      <c r="C352" s="64" t="str">
        <f>IF(MINUTE(RawData!K351)=0,"",MINUTE(RawData!K351))</f>
        <v/>
      </c>
      <c r="D352" s="52" t="str">
        <f t="shared" si="10"/>
        <v/>
      </c>
      <c r="E352" s="53" t="str">
        <f t="shared" si="11"/>
        <v/>
      </c>
    </row>
    <row r="353" spans="1:5" ht="15.75" customHeight="1" x14ac:dyDescent="0.25">
      <c r="A353" s="60" t="str">
        <f>IF(RawData!C352="","",RawData!C352)</f>
        <v/>
      </c>
      <c r="B353" s="63" t="str">
        <f>IF(HOUR(RawData!K352)=0,"",HOUR(RawData!K352))</f>
        <v/>
      </c>
      <c r="C353" s="64" t="str">
        <f>IF(MINUTE(RawData!K352)=0,"",MINUTE(RawData!K352))</f>
        <v/>
      </c>
      <c r="D353" s="52" t="str">
        <f t="shared" si="10"/>
        <v/>
      </c>
      <c r="E353" s="53" t="str">
        <f t="shared" si="11"/>
        <v/>
      </c>
    </row>
    <row r="354" spans="1:5" ht="15.75" customHeight="1" x14ac:dyDescent="0.25">
      <c r="A354" s="60" t="str">
        <f>IF(RawData!C353="","",RawData!C353)</f>
        <v/>
      </c>
      <c r="B354" s="63" t="str">
        <f>IF(HOUR(RawData!K353)=0,"",HOUR(RawData!K353))</f>
        <v/>
      </c>
      <c r="C354" s="64" t="str">
        <f>IF(MINUTE(RawData!K353)=0,"",MINUTE(RawData!K353))</f>
        <v/>
      </c>
      <c r="D354" s="52" t="str">
        <f t="shared" si="10"/>
        <v/>
      </c>
      <c r="E354" s="53" t="str">
        <f t="shared" si="11"/>
        <v/>
      </c>
    </row>
    <row r="355" spans="1:5" ht="15.75" customHeight="1" x14ac:dyDescent="0.25">
      <c r="A355" s="60" t="str">
        <f>IF(RawData!C354="","",RawData!C354)</f>
        <v/>
      </c>
      <c r="B355" s="63" t="str">
        <f>IF(HOUR(RawData!K354)=0,"",HOUR(RawData!K354))</f>
        <v/>
      </c>
      <c r="C355" s="64" t="str">
        <f>IF(MINUTE(RawData!K354)=0,"",MINUTE(RawData!K354))</f>
        <v/>
      </c>
      <c r="D355" s="52" t="str">
        <f t="shared" si="10"/>
        <v/>
      </c>
      <c r="E355" s="53" t="str">
        <f t="shared" si="11"/>
        <v/>
      </c>
    </row>
    <row r="356" spans="1:5" ht="15.75" customHeight="1" x14ac:dyDescent="0.25">
      <c r="A356" s="60" t="str">
        <f>IF(RawData!C355="","",RawData!C355)</f>
        <v/>
      </c>
      <c r="B356" s="63" t="str">
        <f>IF(HOUR(RawData!K355)=0,"",HOUR(RawData!K355))</f>
        <v/>
      </c>
      <c r="C356" s="64" t="str">
        <f>IF(MINUTE(RawData!K355)=0,"",MINUTE(RawData!K355))</f>
        <v/>
      </c>
      <c r="D356" s="52" t="str">
        <f t="shared" si="10"/>
        <v/>
      </c>
      <c r="E356" s="53" t="str">
        <f t="shared" si="11"/>
        <v/>
      </c>
    </row>
    <row r="357" spans="1:5" ht="15.75" customHeight="1" x14ac:dyDescent="0.25">
      <c r="A357" s="60" t="str">
        <f>IF(RawData!C356="","",RawData!C356)</f>
        <v/>
      </c>
      <c r="B357" s="63" t="str">
        <f>IF(HOUR(RawData!K356)=0,"",HOUR(RawData!K356))</f>
        <v/>
      </c>
      <c r="C357" s="64" t="str">
        <f>IF(MINUTE(RawData!K356)=0,"",MINUTE(RawData!K356))</f>
        <v/>
      </c>
      <c r="D357" s="52" t="str">
        <f t="shared" si="10"/>
        <v/>
      </c>
      <c r="E357" s="53" t="str">
        <f t="shared" si="11"/>
        <v/>
      </c>
    </row>
    <row r="358" spans="1:5" ht="15.75" customHeight="1" x14ac:dyDescent="0.25">
      <c r="A358" s="60" t="str">
        <f>IF(RawData!C357="","",RawData!C357)</f>
        <v/>
      </c>
      <c r="B358" s="63" t="str">
        <f>IF(HOUR(RawData!K357)=0,"",HOUR(RawData!K357))</f>
        <v/>
      </c>
      <c r="C358" s="64" t="str">
        <f>IF(MINUTE(RawData!K357)=0,"",MINUTE(RawData!K357))</f>
        <v/>
      </c>
      <c r="D358" s="52" t="str">
        <f t="shared" si="10"/>
        <v/>
      </c>
      <c r="E358" s="53" t="str">
        <f t="shared" si="11"/>
        <v/>
      </c>
    </row>
    <row r="359" spans="1:5" ht="15.75" customHeight="1" x14ac:dyDescent="0.25">
      <c r="A359" s="60" t="str">
        <f>IF(RawData!C358="","",RawData!C358)</f>
        <v/>
      </c>
      <c r="B359" s="63" t="str">
        <f>IF(HOUR(RawData!K358)=0,"",HOUR(RawData!K358))</f>
        <v/>
      </c>
      <c r="C359" s="64" t="str">
        <f>IF(MINUTE(RawData!K358)=0,"",MINUTE(RawData!K358))</f>
        <v/>
      </c>
      <c r="D359" s="52" t="str">
        <f t="shared" si="10"/>
        <v/>
      </c>
      <c r="E359" s="53" t="str">
        <f t="shared" si="11"/>
        <v/>
      </c>
    </row>
    <row r="360" spans="1:5" ht="15.75" customHeight="1" x14ac:dyDescent="0.25">
      <c r="A360" s="60" t="str">
        <f>IF(RawData!C359="","",RawData!C359)</f>
        <v/>
      </c>
      <c r="B360" s="63" t="str">
        <f>IF(HOUR(RawData!K359)=0,"",HOUR(RawData!K359))</f>
        <v/>
      </c>
      <c r="C360" s="64" t="str">
        <f>IF(MINUTE(RawData!K359)=0,"",MINUTE(RawData!K359))</f>
        <v/>
      </c>
      <c r="D360" s="52" t="str">
        <f t="shared" si="10"/>
        <v/>
      </c>
      <c r="E360" s="53" t="str">
        <f t="shared" si="11"/>
        <v/>
      </c>
    </row>
    <row r="361" spans="1:5" ht="15.75" customHeight="1" x14ac:dyDescent="0.25">
      <c r="A361" s="60" t="str">
        <f>IF(RawData!C360="","",RawData!C360)</f>
        <v/>
      </c>
      <c r="B361" s="63" t="str">
        <f>IF(HOUR(RawData!K360)=0,"",HOUR(RawData!K360))</f>
        <v/>
      </c>
      <c r="C361" s="64" t="str">
        <f>IF(MINUTE(RawData!K360)=0,"",MINUTE(RawData!K360))</f>
        <v/>
      </c>
      <c r="D361" s="52" t="str">
        <f t="shared" si="10"/>
        <v/>
      </c>
      <c r="E361" s="53" t="str">
        <f t="shared" si="11"/>
        <v/>
      </c>
    </row>
    <row r="362" spans="1:5" ht="15.75" customHeight="1" x14ac:dyDescent="0.25">
      <c r="A362" s="60" t="str">
        <f>IF(RawData!C361="","",RawData!C361)</f>
        <v/>
      </c>
      <c r="B362" s="63" t="str">
        <f>IF(HOUR(RawData!K361)=0,"",HOUR(RawData!K361))</f>
        <v/>
      </c>
      <c r="C362" s="64" t="str">
        <f>IF(MINUTE(RawData!K361)=0,"",MINUTE(RawData!K361))</f>
        <v/>
      </c>
      <c r="D362" s="52" t="str">
        <f t="shared" si="10"/>
        <v/>
      </c>
      <c r="E362" s="53" t="str">
        <f t="shared" si="11"/>
        <v/>
      </c>
    </row>
    <row r="363" spans="1:5" ht="15.75" customHeight="1" x14ac:dyDescent="0.25">
      <c r="A363" s="60" t="str">
        <f>IF(RawData!C362="","",RawData!C362)</f>
        <v/>
      </c>
      <c r="B363" s="63" t="str">
        <f>IF(HOUR(RawData!K362)=0,"",HOUR(RawData!K362))</f>
        <v/>
      </c>
      <c r="C363" s="64" t="str">
        <f>IF(MINUTE(RawData!K362)=0,"",MINUTE(RawData!K362))</f>
        <v/>
      </c>
      <c r="D363" s="52" t="str">
        <f t="shared" si="10"/>
        <v/>
      </c>
      <c r="E363" s="53" t="str">
        <f t="shared" si="11"/>
        <v/>
      </c>
    </row>
    <row r="364" spans="1:5" ht="15.75" customHeight="1" x14ac:dyDescent="0.25">
      <c r="A364" s="60" t="str">
        <f>IF(RawData!C363="","",RawData!C363)</f>
        <v/>
      </c>
      <c r="B364" s="63" t="str">
        <f>IF(HOUR(RawData!K363)=0,"",HOUR(RawData!K363))</f>
        <v/>
      </c>
      <c r="C364" s="64" t="str">
        <f>IF(MINUTE(RawData!K363)=0,"",MINUTE(RawData!K363))</f>
        <v/>
      </c>
      <c r="D364" s="52" t="str">
        <f t="shared" si="10"/>
        <v/>
      </c>
      <c r="E364" s="53" t="str">
        <f t="shared" si="11"/>
        <v/>
      </c>
    </row>
    <row r="365" spans="1:5" ht="15.75" customHeight="1" x14ac:dyDescent="0.25">
      <c r="A365" s="60" t="str">
        <f>IF(RawData!C364="","",RawData!C364)</f>
        <v/>
      </c>
      <c r="B365" s="63" t="str">
        <f>IF(HOUR(RawData!K364)=0,"",HOUR(RawData!K364))</f>
        <v/>
      </c>
      <c r="C365" s="64" t="str">
        <f>IF(MINUTE(RawData!K364)=0,"",MINUTE(RawData!K364))</f>
        <v/>
      </c>
      <c r="D365" s="52" t="str">
        <f t="shared" si="10"/>
        <v/>
      </c>
      <c r="E365" s="53" t="str">
        <f t="shared" si="11"/>
        <v/>
      </c>
    </row>
    <row r="366" spans="1:5" ht="15.75" customHeight="1" x14ac:dyDescent="0.25">
      <c r="A366" s="60" t="str">
        <f>IF(RawData!C365="","",RawData!C365)</f>
        <v/>
      </c>
      <c r="B366" s="63" t="str">
        <f>IF(HOUR(RawData!K365)=0,"",HOUR(RawData!K365))</f>
        <v/>
      </c>
      <c r="C366" s="64" t="str">
        <f>IF(MINUTE(RawData!K365)=0,"",MINUTE(RawData!K365))</f>
        <v/>
      </c>
      <c r="D366" s="52" t="str">
        <f t="shared" si="10"/>
        <v/>
      </c>
      <c r="E366" s="53" t="str">
        <f t="shared" si="11"/>
        <v/>
      </c>
    </row>
    <row r="367" spans="1:5" ht="15.75" customHeight="1" x14ac:dyDescent="0.25">
      <c r="A367" s="60" t="str">
        <f>IF(RawData!C366="","",RawData!C366)</f>
        <v/>
      </c>
      <c r="B367" s="63" t="str">
        <f>IF(HOUR(RawData!K366)=0,"",HOUR(RawData!K366))</f>
        <v/>
      </c>
      <c r="C367" s="64" t="str">
        <f>IF(MINUTE(RawData!K366)=0,"",MINUTE(RawData!K366))</f>
        <v/>
      </c>
      <c r="D367" s="52" t="str">
        <f>IF(OR(CONCATENATE(B367,C367)="",CONCATENATE(B367,C367)="00")=TRUE,"",9)</f>
        <v/>
      </c>
      <c r="E367" s="53" t="str">
        <f>IF(OR(CONCATENATE(B367,C367)="",CONCATENATE(B367,C367)="00")=TRUE,"",15)</f>
        <v/>
      </c>
    </row>
    <row r="368" spans="1:5" ht="15.75" customHeight="1" thickBot="1" x14ac:dyDescent="0.3">
      <c r="A368" s="60" t="str">
        <f>IF(RawData!C367="","",RawData!C367)</f>
        <v/>
      </c>
      <c r="B368" s="65" t="str">
        <f>IF(HOUR(RawData!K367)=0,"",HOUR(RawData!K367))</f>
        <v/>
      </c>
      <c r="C368" s="66" t="str">
        <f>IF(MINUTE(RawData!K367)=0,"",MINUTE(RawData!K367))</f>
        <v/>
      </c>
      <c r="D368" s="70" t="str">
        <f>IF(OR(CONCATENATE(B368,C368)="",CONCATENATE(B368,C368)="00")=TRUE,"",9)</f>
        <v/>
      </c>
      <c r="E368" s="71" t="str">
        <f>IF(OR(CONCATENATE(B368,C368)="",CONCATENATE(B368,C368)="00")=TRUE,"",15)</f>
        <v/>
      </c>
    </row>
  </sheetData>
  <sheetProtection algorithmName="SHA-512" hashValue="zf/GSMl4rfHmGZ1Ya/wfYJDBQZAj1V5dPR6wllKNahX1M3xgMkIR5XA+511bTiS2EsNpGnsKUwCxXPDDjSP8mA==" saltValue="10VuAhD+mLpsr43Y3Fzb+A==" spinCount="100000" sheet="1" objects="1" scenarios="1" selectLockedCells="1" selectUnlockedCells="1"/>
  <mergeCells count="10">
    <mergeCell ref="A1:A2"/>
    <mergeCell ref="H13:K14"/>
    <mergeCell ref="O5:P5"/>
    <mergeCell ref="Q5:R5"/>
    <mergeCell ref="N5:N6"/>
    <mergeCell ref="B1:C1"/>
    <mergeCell ref="D1:E1"/>
    <mergeCell ref="O9:P9"/>
    <mergeCell ref="F1:W2"/>
    <mergeCell ref="N11:R12"/>
  </mergeCells>
  <conditionalFormatting sqref="Q9">
    <cfRule type="expression" dxfId="6" priority="1" stopIfTrue="1">
      <formula>NOT(ISERROR(SEARCH("More",O9)))</formula>
    </cfRule>
    <cfRule type="expression" dxfId="5" priority="2" stopIfTrue="1">
      <formula>NOT(ISERROR(SEARCH("Less",O9)))</formula>
    </cfRule>
  </conditionalFormatting>
  <conditionalFormatting sqref="R9">
    <cfRule type="expression" dxfId="4" priority="3" stopIfTrue="1">
      <formula>NOT(ISERROR(SEARCH("More",O9)))</formula>
    </cfRule>
    <cfRule type="expression" dxfId="3" priority="4" stopIfTrue="1">
      <formula>NOT(ISERROR(SEARCH("Less",O9)))</formula>
    </cfRule>
  </conditionalFormatting>
  <conditionalFormatting sqref="O9:P9">
    <cfRule type="expression" dxfId="2" priority="5" stopIfTrue="1">
      <formula>NOT(ISERROR(SEARCH("More",O9)))</formula>
    </cfRule>
    <cfRule type="expression" dxfId="1" priority="6" stopIfTrue="1">
      <formula>NOT(ISERROR(SEARCH("Less",O9)))</formula>
    </cfRule>
  </conditionalFormatting>
  <conditionalFormatting sqref="H13:K14">
    <cfRule type="cellIs" dxfId="0" priority="7" stopIfTrue="1" operator="equal">
      <formula>"EDIT TIMING"</formula>
    </cfRule>
  </conditionalFormatting>
  <hyperlinks>
    <hyperlink ref="H13:K14" location="RawData!A2" display="EDIT TIMING"/>
  </hyperlinks>
  <pageMargins left="0.69861111111111107" right="0.69861111111111107" top="0.75" bottom="0.75" header="0.3" footer="0.3"/>
  <pageSetup firstPageNumber="4294963191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157255200</TotalTime>
  <Pages>0</Pages>
  <Words>0</Words>
  <Characters>0</Characters>
  <Application>Microsoft Excel</Application>
  <DocSecurity>0</DocSecurity>
  <PresentationFormat/>
  <Lines>0</Lines>
  <Paragraphs>0</Paragraphs>
  <Slides>0</Slides>
  <Notes>0</Notes>
  <HiddenSlides>0</HiddenSlides>
  <MMClips>0</MMClips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RawData</vt:lpstr>
      <vt:lpstr>Result</vt:lpstr>
    </vt:vector>
  </TitlesOfParts>
  <LinksUpToDate>false</LinksUpToDate>
  <CharactersWithSpaces>0</CharactersWithSpaces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19946</dc:creator>
  <cp:lastModifiedBy>Premji Yohannan</cp:lastModifiedBy>
  <cp:revision/>
  <cp:lastPrinted>1899-12-30T00:00:00Z</cp:lastPrinted>
  <dcterms:created xsi:type="dcterms:W3CDTF">2010-10-15T05:51:26Z</dcterms:created>
  <dcterms:modified xsi:type="dcterms:W3CDTF">2015-09-09T16:30:47Z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1033-8.1.0.3032</vt:lpwstr>
  </property>
</Properties>
</file>